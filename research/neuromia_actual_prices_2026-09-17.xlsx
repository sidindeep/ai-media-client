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677c13dc4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Цены моделей" sheetId="1" r:id="R6295aab3f95c49a6"/>
    <x:sheet xmlns:r="http://schemas.openxmlformats.org/officeDocument/2006/relationships" name="Tariffs" sheetId="2" r:id="Rf61cc7d9090d459c"/>
    <x:sheet xmlns:r="http://schemas.openxmlformats.org/officeDocument/2006/relationships" name="Методика" sheetId="3" r:id="R03f0e42c8ffc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.00"/>
    <x:numFmt numFmtId="202" formatCode="dd.mm.yyyy"/>
    <x:numFmt numFmtId="203" formatCode="#,##0"/>
    <x:numFmt numFmtId="204" formatCode="0.000000"/>
  </x:numFmts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253243"/>
      <x:name val="Arial"/>
    </x:font>
    <x:font>
      <x:b/>
      <x:sz val="15"/>
      <x:color rgb="FF17324D"/>
      <x:name val="Arial"/>
    </x:font>
    <x:font>
      <x:i/>
      <x:sz val="10"/>
      <x:color rgb="FF536879"/>
      <x:name val="Arial"/>
    </x:font>
    <x:font>
      <x:b/>
      <x:sz val="11"/>
      <x:color rgb="FF17324D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A5B00"/>
      </x:font>
      <x:fill>
        <x:patternFill patternType="solid">
          <x:bgColor rgb="FFFFF1D8"/>
        </x:patternFill>
      </x:fill>
    </x:dxf>
    <x:dxf>
      <x:font>
        <x:color rgb="FF9B2828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b4a41b76b4846" /><Relationship Type="http://schemas.openxmlformats.org/officeDocument/2006/relationships/theme" Target="/xl/theme/theme1.xml" Id="R6f01f11f1b044279" /><Relationship Type="http://schemas.openxmlformats.org/officeDocument/2006/relationships/sharedStrings" Target="/xl/sharedStrings.xml" Id="Re170151196ff41aa" /><Relationship Type="http://schemas.openxmlformats.org/officeDocument/2006/relationships/worksheet" Target="/xl/worksheets/sheet1.xml" Id="R6295aab3f95c49a6" /><Relationship Type="http://schemas.openxmlformats.org/officeDocument/2006/relationships/worksheet" Target="/xl/worksheets/sheet2.xml" Id="Rf61cc7d9090d459c" /><Relationship Type="http://schemas.openxmlformats.org/officeDocument/2006/relationships/worksheet" Target="/xl/worksheets/sheet3.xml" Id="R03f0e42c8ffc4c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27" hidden="0" customWidth="1"/>
    <x:col min="3" max="3" width="20" hidden="0" customWidth="1"/>
    <x:col min="4" max="4" width="11" hidden="0" customWidth="1"/>
    <x:col min="5" max="5" width="11" hidden="0" customWidth="1"/>
    <x:col min="6" max="6" width="17" hidden="0" customWidth="1"/>
    <x:col min="7" max="7" width="13" hidden="0" customWidth="1"/>
    <x:col min="8" max="8" width="35" hidden="0" customWidth="1"/>
    <x:col min="9" max="9" width="14" hidden="0" customWidth="1"/>
    <x:col min="10" max="10" width="22" hidden="0" customWidth="1"/>
    <x:col min="11" max="11" width="25" hidden="0" customWidth="1"/>
    <x:col min="12" max="12" width="18" hidden="0" customWidth="1"/>
    <x:col min="13" max="13" width="14" hidden="0" customWidth="1"/>
    <x:col min="14" max="14" width="15" hidden="0" customWidth="1"/>
    <x:col min="15" max="15" width="15" hidden="0" customWidth="1"/>
    <x:col min="16" max="16" width="45" hidden="0" customWidth="1"/>
    <x:col min="17" max="17" width="17" hidden="0" customWidth="1"/>
    <x:col min="18" max="18" width="75" hidden="0" customWidth="1"/>
  </x:cols>
  <x:sheetData>
    <x:row r="2">
      <x:c r="A2" s="9" t="str">
        <x:v>Neuromia: цены редактора и статус точности</x:v>
      </x:c>
    </x:row>
    <x:row r="3">
      <x:c r="A3" s="10" t="str">
        <x:v>Проверка 17.09.2026, авторизованный редактор. ₽ рассчитаны по фактической цене пакета кредитов.</x:v>
      </x:c>
    </x:row>
    <x:row r="4">
      <x:c r="A4" s="11" t="str">
        <x:v>Моделей/сервисов</x:v>
      </x:c>
      <x:c r="B4" s="11" t="n">
        <x:v>82</x:v>
      </x:c>
      <x:c r="C4" s="11"/>
      <x:c r="D4" s="11" t="str">
        <x:v>Проверенных вариантов</x:v>
      </x:c>
      <x:c r="E4" s="11" t="n">
        <x:v>745</x:v>
      </x:c>
    </x:row>
    <x:row r="6" ht="34" customHeight="1">
      <x:c r="A6" s="4" t="str">
        <x:v>Раздел</x:v>
      </x:c>
      <x:c r="B6" s="4" t="str">
        <x:v>Модель</x:v>
      </x:c>
      <x:c r="C6" s="4" t="str">
        <x:v>Режим</x:v>
      </x:c>
      <x:c r="D6" s="4" t="str">
        <x:v>Качество</x:v>
      </x:c>
      <x:c r="E6" s="4" t="str">
        <x:v>Формат</x:v>
      </x:c>
      <x:c r="F6" s="4" t="str">
        <x:v>Длительность, с</x:v>
      </x:c>
      <x:c r="G6" s="4" t="str">
        <x:v>Звук</x:v>
      </x:c>
      <x:c r="H6" s="4" t="str">
        <x:v>Другие параметры</x:v>
      </x:c>
      <x:c r="I6" s="4" t="str">
        <x:v>Показано, кр.</x:v>
      </x:c>
      <x:c r="J6" s="4" t="str">
        <x:v>Точная цена редактора, кр.</x:v>
      </x:c>
      <x:c r="K6" s="4" t="str">
        <x:v>Статус</x:v>
      </x:c>
      <x:c r="L6" s="4" t="str">
        <x:v>Единица оплаты</x:v>
      </x:c>
      <x:c r="M6" s="4" t="str">
        <x:v>₽: 600 кр.</x:v>
      </x:c>
      <x:c r="N6" s="4" t="str">
        <x:v>₽: 1200 кр.</x:v>
      </x:c>
      <x:c r="O6" s="4" t="str">
        <x:v>₽: 6000 кр.</x:v>
      </x:c>
      <x:c r="P6" s="4" t="str">
        <x:v>Ссылка</x:v>
      </x:c>
      <x:c r="Q6" s="4" t="str">
        <x:v>Дата проверки</x:v>
      </x:c>
      <x:c r="R6" s="4" t="str">
        <x:v>Примечание</x:v>
      </x:c>
    </x:row>
    <x:row r="7" ht="22" customHeight="1">
      <x:c r="A7" s="5" t="str">
        <x:v>Изображение</x:v>
      </x:c>
      <x:c r="B7" s="5" t="str">
        <x:v>GPT Image 2.5 Sunburst</x:v>
      </x:c>
      <x:c r="C7" s="5" t="str">
        <x:v>Текст → изображение</x:v>
      </x:c>
      <x:c r="D7" s="5" t="str">
        <x:v>1K</x:v>
      </x:c>
      <x:c r="E7" s="5" t="str">
        <x:v>1:1</x:v>
      </x:c>
      <x:c r="F7" s="5" t="str"/>
      <x:c r="G7" s="5" t="str"/>
      <x:c r="H7" s="5" t="str">
        <x:v>Без исходного файла</x:v>
      </x:c>
      <x:c r="I7" s="6" t="n">
        <x:v>6.6</x:v>
      </x:c>
      <x:c r="J7" s="6" t="n">
        <x:v>6.6</x:v>
      </x:c>
      <x:c r="K7" s="5" t="str">
        <x:v>Точная цена в редакторе</x:v>
      </x:c>
      <x:c r="L7" s="5" t="str">
        <x:v>изображение</x:v>
      </x:c>
      <x:c r="M7" s="7" t="n">
        <x:f>IF(J7="","",ROUND(J7*Tariffs!$D$5,2))</x:f>
        <x:v>5.49</x:v>
      </x:c>
      <x:c r="N7" s="7" t="n">
        <x:f>IF(J7="","",ROUND(J7*Tariffs!$D$6,2))</x:f>
        <x:v>5.49</x:v>
      </x:c>
      <x:c r="O7" s="7" t="n">
        <x:f>IF(J7="","",ROUND(J7*Tariffs!$D$7,2))</x:f>
        <x:v>5.5</x:v>
      </x:c>
      <x:c r="P7" s="5" t="str">
        <x:v>https://neuromia.ru/app/images/gpt-image</x:v>
      </x:c>
      <x:c r="Q7" s="8" t="n">
        <x:v>46282.375</x:v>
      </x:c>
      <x:c r="R7" s="5" t="str">
        <x:v>Цена показана до генерации при пустом промпте.</x:v>
      </x:c>
    </x:row>
    <x:row r="8" ht="22" customHeight="1">
      <x:c r="A8" s="5" t="str">
        <x:v>Изображение</x:v>
      </x:c>
      <x:c r="B8" s="5" t="str">
        <x:v>GPT Image 2.5 Sunburst</x:v>
      </x:c>
      <x:c r="C8" s="5" t="str">
        <x:v>Текст → изображение</x:v>
      </x:c>
      <x:c r="D8" s="5" t="str">
        <x:v>2K</x:v>
      </x:c>
      <x:c r="E8" s="5" t="str">
        <x:v>1:1</x:v>
      </x:c>
      <x:c r="F8" s="5" t="str"/>
      <x:c r="G8" s="5" t="str"/>
      <x:c r="H8" s="5" t="str">
        <x:v>Без исходного файла</x:v>
      </x:c>
      <x:c r="I8" s="6" t="n">
        <x:v>11</x:v>
      </x:c>
      <x:c r="J8" s="6" t="n">
        <x:v>11</x:v>
      </x:c>
      <x:c r="K8" s="5" t="str">
        <x:v>Точная цена в редакторе</x:v>
      </x:c>
      <x:c r="L8" s="5" t="str">
        <x:v>изображение</x:v>
      </x:c>
      <x:c r="M8" s="7" t="n">
        <x:f>IF(J8="","",ROUND(J8*Tariffs!$D$5,2))</x:f>
        <x:v>9.15</x:v>
      </x:c>
      <x:c r="N8" s="7" t="n">
        <x:f>IF(J8="","",ROUND(J8*Tariffs!$D$6,2))</x:f>
        <x:v>9.16</x:v>
      </x:c>
      <x:c r="O8" s="7" t="n">
        <x:f>IF(J8="","",ROUND(J8*Tariffs!$D$7,2))</x:f>
        <x:v>9.16</x:v>
      </x:c>
      <x:c r="P8" s="5" t="str">
        <x:v>https://neuromia.ru/app/images/gpt-image</x:v>
      </x:c>
      <x:c r="Q8" s="8" t="n">
        <x:v>46282.375</x:v>
      </x:c>
      <x:c r="R8" s="5" t="str">
        <x:v>Цена показана до генерации при пустом промпте.</x:v>
      </x:c>
    </x:row>
    <x:row r="9" ht="22" customHeight="1">
      <x:c r="A9" s="5" t="str">
        <x:v>Изображение</x:v>
      </x:c>
      <x:c r="B9" s="5" t="str">
        <x:v>GPT Image 2.5 Sunburst</x:v>
      </x:c>
      <x:c r="C9" s="5" t="str">
        <x:v>Текст → изображение</x:v>
      </x:c>
      <x:c r="D9" s="5" t="str">
        <x:v>4K</x:v>
      </x:c>
      <x:c r="E9" s="5" t="str">
        <x:v>1:1</x:v>
      </x:c>
      <x:c r="F9" s="5" t="str"/>
      <x:c r="G9" s="5" t="str"/>
      <x:c r="H9" s="5" t="str">
        <x:v>Без исходного файла</x:v>
      </x:c>
      <x:c r="I9" s="6" t="n">
        <x:v>17.6</x:v>
      </x:c>
      <x:c r="J9" s="6" t="n">
        <x:v>17.6</x:v>
      </x:c>
      <x:c r="K9" s="5" t="str">
        <x:v>Точная цена в редакторе</x:v>
      </x:c>
      <x:c r="L9" s="5" t="str">
        <x:v>изображение</x:v>
      </x:c>
      <x:c r="M9" s="7" t="n">
        <x:f>IF(J9="","",ROUND(J9*Tariffs!$D$5,2))</x:f>
        <x:v>14.64</x:v>
      </x:c>
      <x:c r="N9" s="7" t="n">
        <x:f>IF(J9="","",ROUND(J9*Tariffs!$D$6,2))</x:f>
        <x:v>14.65</x:v>
      </x:c>
      <x:c r="O9" s="7" t="n">
        <x:f>IF(J9="","",ROUND(J9*Tariffs!$D$7,2))</x:f>
        <x:v>14.66</x:v>
      </x:c>
      <x:c r="P9" s="5" t="str">
        <x:v>https://neuromia.ru/app/images/gpt-image</x:v>
      </x:c>
      <x:c r="Q9" s="8" t="n">
        <x:v>46282.375</x:v>
      </x:c>
      <x:c r="R9" s="5" t="str">
        <x:v>Цена показана до генерации при пустом промпте.</x:v>
      </x:c>
    </x:row>
    <x:row r="10" ht="22" customHeight="1">
      <x:c r="A10" s="5" t="str">
        <x:v>Изображение</x:v>
      </x:c>
      <x:c r="B10" s="5" t="str">
        <x:v>GPT Image 2.5 Flare</x:v>
      </x:c>
      <x:c r="C10" s="5" t="str">
        <x:v>Текст → изображение</x:v>
      </x:c>
      <x:c r="D10" s="5" t="str">
        <x:v>1K</x:v>
      </x:c>
      <x:c r="E10" s="5" t="str">
        <x:v>1:1</x:v>
      </x:c>
      <x:c r="F10" s="5" t="str"/>
      <x:c r="G10" s="5" t="str"/>
      <x:c r="H10" s="5" t="str">
        <x:v>Без исходного файла</x:v>
      </x:c>
      <x:c r="I10" s="6" t="n">
        <x:v>6.6</x:v>
      </x:c>
      <x:c r="J10" s="6" t="n">
        <x:v>6.6</x:v>
      </x:c>
      <x:c r="K10" s="5" t="str">
        <x:v>Точная цена в редакторе</x:v>
      </x:c>
      <x:c r="L10" s="5" t="str">
        <x:v>изображение</x:v>
      </x:c>
      <x:c r="M10" s="7" t="n">
        <x:f>IF(J10="","",ROUND(J10*Tariffs!$D$5,2))</x:f>
        <x:v>5.49</x:v>
      </x:c>
      <x:c r="N10" s="7" t="n">
        <x:f>IF(J10="","",ROUND(J10*Tariffs!$D$6,2))</x:f>
        <x:v>5.49</x:v>
      </x:c>
      <x:c r="O10" s="7" t="n">
        <x:f>IF(J10="","",ROUND(J10*Tariffs!$D$7,2))</x:f>
        <x:v>5.5</x:v>
      </x:c>
      <x:c r="P10" s="5" t="str">
        <x:v>https://neuromia.ru/app/images/gpt-image</x:v>
      </x:c>
      <x:c r="Q10" s="8" t="n">
        <x:v>46282.375</x:v>
      </x:c>
      <x:c r="R10" s="5" t="str">
        <x:v>Цена показана до генерации при пустом промпте.</x:v>
      </x:c>
    </x:row>
    <x:row r="11" ht="22" customHeight="1">
      <x:c r="A11" s="5" t="str">
        <x:v>Изображение</x:v>
      </x:c>
      <x:c r="B11" s="5" t="str">
        <x:v>GPT Image 2.5 Flare</x:v>
      </x:c>
      <x:c r="C11" s="5" t="str">
        <x:v>Текст → изображение</x:v>
      </x:c>
      <x:c r="D11" s="5" t="str">
        <x:v>2K</x:v>
      </x:c>
      <x:c r="E11" s="5" t="str">
        <x:v>1:1</x:v>
      </x:c>
      <x:c r="F11" s="5" t="str"/>
      <x:c r="G11" s="5" t="str"/>
      <x:c r="H11" s="5" t="str">
        <x:v>Без исходного файла</x:v>
      </x:c>
      <x:c r="I11" s="6" t="n">
        <x:v>11</x:v>
      </x:c>
      <x:c r="J11" s="6" t="n">
        <x:v>11</x:v>
      </x:c>
      <x:c r="K11" s="5" t="str">
        <x:v>Точная цена в редакторе</x:v>
      </x:c>
      <x:c r="L11" s="5" t="str">
        <x:v>изображение</x:v>
      </x:c>
      <x:c r="M11" s="7" t="n">
        <x:f>IF(J11="","",ROUND(J11*Tariffs!$D$5,2))</x:f>
        <x:v>9.15</x:v>
      </x:c>
      <x:c r="N11" s="7" t="n">
        <x:f>IF(J11="","",ROUND(J11*Tariffs!$D$6,2))</x:f>
        <x:v>9.16</x:v>
      </x:c>
      <x:c r="O11" s="7" t="n">
        <x:f>IF(J11="","",ROUND(J11*Tariffs!$D$7,2))</x:f>
        <x:v>9.16</x:v>
      </x:c>
      <x:c r="P11" s="5" t="str">
        <x:v>https://neuromia.ru/app/images/gpt-image</x:v>
      </x:c>
      <x:c r="Q11" s="8" t="n">
        <x:v>46282.375</x:v>
      </x:c>
      <x:c r="R11" s="5" t="str">
        <x:v>Цена показана до генерации при пустом промпте.</x:v>
      </x:c>
    </x:row>
    <x:row r="12" ht="22" customHeight="1">
      <x:c r="A12" s="5" t="str">
        <x:v>Изображение</x:v>
      </x:c>
      <x:c r="B12" s="5" t="str">
        <x:v>GPT Image 2.5 Flare</x:v>
      </x:c>
      <x:c r="C12" s="5" t="str">
        <x:v>Текст → изображение</x:v>
      </x:c>
      <x:c r="D12" s="5" t="str">
        <x:v>4K</x:v>
      </x:c>
      <x:c r="E12" s="5" t="str">
        <x:v>1:1</x:v>
      </x:c>
      <x:c r="F12" s="5" t="str"/>
      <x:c r="G12" s="5" t="str"/>
      <x:c r="H12" s="5" t="str">
        <x:v>Без исходного файла</x:v>
      </x:c>
      <x:c r="I12" s="6" t="n">
        <x:v>17.6</x:v>
      </x:c>
      <x:c r="J12" s="6" t="n">
        <x:v>17.6</x:v>
      </x:c>
      <x:c r="K12" s="5" t="str">
        <x:v>Точная цена в редакторе</x:v>
      </x:c>
      <x:c r="L12" s="5" t="str">
        <x:v>изображение</x:v>
      </x:c>
      <x:c r="M12" s="7" t="n">
        <x:f>IF(J12="","",ROUND(J12*Tariffs!$D$5,2))</x:f>
        <x:v>14.64</x:v>
      </x:c>
      <x:c r="N12" s="7" t="n">
        <x:f>IF(J12="","",ROUND(J12*Tariffs!$D$6,2))</x:f>
        <x:v>14.65</x:v>
      </x:c>
      <x:c r="O12" s="7" t="n">
        <x:f>IF(J12="","",ROUND(J12*Tariffs!$D$7,2))</x:f>
        <x:v>14.66</x:v>
      </x:c>
      <x:c r="P12" s="5" t="str">
        <x:v>https://neuromia.ru/app/images/gpt-image</x:v>
      </x:c>
      <x:c r="Q12" s="8" t="n">
        <x:v>46282.375</x:v>
      </x:c>
      <x:c r="R12" s="5" t="str">
        <x:v>Цена показана до генерации при пустом промпте.</x:v>
      </x:c>
    </x:row>
    <x:row r="13" ht="22" customHeight="1">
      <x:c r="A13" s="5" t="str">
        <x:v>Изображение</x:v>
      </x:c>
      <x:c r="B13" s="5" t="str">
        <x:v>GPT Image 2</x:v>
      </x:c>
      <x:c r="C13" s="5" t="str">
        <x:v>Текст → изображение</x:v>
      </x:c>
      <x:c r="D13" s="5" t="str">
        <x:v>1K</x:v>
      </x:c>
      <x:c r="E13" s="5" t="str">
        <x:v>1:1</x:v>
      </x:c>
      <x:c r="F13" s="5" t="str"/>
      <x:c r="G13" s="5" t="str"/>
      <x:c r="H13" s="5" t="str">
        <x:v>Без исходного файла</x:v>
      </x:c>
      <x:c r="I13" s="6" t="n">
        <x:v>6.6</x:v>
      </x:c>
      <x:c r="J13" s="6" t="n">
        <x:v>6.6</x:v>
      </x:c>
      <x:c r="K13" s="5" t="str">
        <x:v>Точная цена в редакторе</x:v>
      </x:c>
      <x:c r="L13" s="5" t="str">
        <x:v>изображение</x:v>
      </x:c>
      <x:c r="M13" s="7" t="n">
        <x:f>IF(J13="","",ROUND(J13*Tariffs!$D$5,2))</x:f>
        <x:v>5.49</x:v>
      </x:c>
      <x:c r="N13" s="7" t="n">
        <x:f>IF(J13="","",ROUND(J13*Tariffs!$D$6,2))</x:f>
        <x:v>5.49</x:v>
      </x:c>
      <x:c r="O13" s="7" t="n">
        <x:f>IF(J13="","",ROUND(J13*Tariffs!$D$7,2))</x:f>
        <x:v>5.5</x:v>
      </x:c>
      <x:c r="P13" s="5" t="str">
        <x:v>https://neuromia.ru/app/images/gpt-image</x:v>
      </x:c>
      <x:c r="Q13" s="8" t="n">
        <x:v>46282.375</x:v>
      </x:c>
      <x:c r="R13" s="5" t="str">
        <x:v>Цена показана до генерации при пустом промпте.</x:v>
      </x:c>
    </x:row>
    <x:row r="14" ht="22" customHeight="1">
      <x:c r="A14" s="5" t="str">
        <x:v>Изображение</x:v>
      </x:c>
      <x:c r="B14" s="5" t="str">
        <x:v>GPT Image 2</x:v>
      </x:c>
      <x:c r="C14" s="5" t="str">
        <x:v>Текст → изображение</x:v>
      </x:c>
      <x:c r="D14" s="5" t="str">
        <x:v>1K</x:v>
      </x:c>
      <x:c r="E14" s="5" t="str">
        <x:v>16:9</x:v>
      </x:c>
      <x:c r="F14" s="5" t="str"/>
      <x:c r="G14" s="5" t="str"/>
      <x:c r="H14" s="5" t="str">
        <x:v>Без исходного файла</x:v>
      </x:c>
      <x:c r="I14" s="6" t="n">
        <x:v>6.6</x:v>
      </x:c>
      <x:c r="J14" s="6" t="n">
        <x:v>6.6</x:v>
      </x:c>
      <x:c r="K14" s="5" t="str">
        <x:v>Точная цена в редакторе</x:v>
      </x:c>
      <x:c r="L14" s="5" t="str">
        <x:v>изображение</x:v>
      </x:c>
      <x:c r="M14" s="7" t="n">
        <x:f>IF(J14="","",ROUND(J14*Tariffs!$D$5,2))</x:f>
        <x:v>5.49</x:v>
      </x:c>
      <x:c r="N14" s="7" t="n">
        <x:f>IF(J14="","",ROUND(J14*Tariffs!$D$6,2))</x:f>
        <x:v>5.49</x:v>
      </x:c>
      <x:c r="O14" s="7" t="n">
        <x:f>IF(J14="","",ROUND(J14*Tariffs!$D$7,2))</x:f>
        <x:v>5.5</x:v>
      </x:c>
      <x:c r="P14" s="5" t="str">
        <x:v>https://neuromia.ru/app/images/gpt-image</x:v>
      </x:c>
      <x:c r="Q14" s="8" t="n">
        <x:v>46282.375</x:v>
      </x:c>
      <x:c r="R14" s="5" t="str">
        <x:v>Цена показана до генерации при пустом промпте.</x:v>
      </x:c>
    </x:row>
    <x:row r="15" ht="22" customHeight="1">
      <x:c r="A15" s="5" t="str">
        <x:v>Изображение</x:v>
      </x:c>
      <x:c r="B15" s="5" t="str">
        <x:v>GPT Image 2</x:v>
      </x:c>
      <x:c r="C15" s="5" t="str">
        <x:v>Текст → изображение</x:v>
      </x:c>
      <x:c r="D15" s="5" t="str">
        <x:v>1K</x:v>
      </x:c>
      <x:c r="E15" s="5" t="str">
        <x:v>9:16</x:v>
      </x:c>
      <x:c r="F15" s="5" t="str"/>
      <x:c r="G15" s="5" t="str"/>
      <x:c r="H15" s="5" t="str">
        <x:v>Без исходного файла</x:v>
      </x:c>
      <x:c r="I15" s="6" t="n">
        <x:v>6.6</x:v>
      </x:c>
      <x:c r="J15" s="6" t="n">
        <x:v>6.6</x:v>
      </x:c>
      <x:c r="K15" s="5" t="str">
        <x:v>Точная цена в редакторе</x:v>
      </x:c>
      <x:c r="L15" s="5" t="str">
        <x:v>изображение</x:v>
      </x:c>
      <x:c r="M15" s="7" t="n">
        <x:f>IF(J15="","",ROUND(J15*Tariffs!$D$5,2))</x:f>
        <x:v>5.49</x:v>
      </x:c>
      <x:c r="N15" s="7" t="n">
        <x:f>IF(J15="","",ROUND(J15*Tariffs!$D$6,2))</x:f>
        <x:v>5.49</x:v>
      </x:c>
      <x:c r="O15" s="7" t="n">
        <x:f>IF(J15="","",ROUND(J15*Tariffs!$D$7,2))</x:f>
        <x:v>5.5</x:v>
      </x:c>
      <x:c r="P15" s="5" t="str">
        <x:v>https://neuromia.ru/app/images/gpt-image</x:v>
      </x:c>
      <x:c r="Q15" s="8" t="n">
        <x:v>46282.375</x:v>
      </x:c>
      <x:c r="R15" s="5" t="str">
        <x:v>Цена показана до генерации при пустом промпте.</x:v>
      </x:c>
    </x:row>
    <x:row r="16" ht="22" customHeight="1">
      <x:c r="A16" s="5" t="str">
        <x:v>Изображение</x:v>
      </x:c>
      <x:c r="B16" s="5" t="str">
        <x:v>GPT Image 2</x:v>
      </x:c>
      <x:c r="C16" s="5" t="str">
        <x:v>Текст → изображение</x:v>
      </x:c>
      <x:c r="D16" s="5" t="str">
        <x:v>1K</x:v>
      </x:c>
      <x:c r="E16" s="5" t="str">
        <x:v>4:3</x:v>
      </x:c>
      <x:c r="F16" s="5" t="str"/>
      <x:c r="G16" s="5" t="str"/>
      <x:c r="H16" s="5" t="str">
        <x:v>Без исходного файла</x:v>
      </x:c>
      <x:c r="I16" s="6" t="n">
        <x:v>6.6</x:v>
      </x:c>
      <x:c r="J16" s="6" t="n">
        <x:v>6.6</x:v>
      </x:c>
      <x:c r="K16" s="5" t="str">
        <x:v>Точная цена в редакторе</x:v>
      </x:c>
      <x:c r="L16" s="5" t="str">
        <x:v>изображение</x:v>
      </x:c>
      <x:c r="M16" s="7" t="n">
        <x:f>IF(J16="","",ROUND(J16*Tariffs!$D$5,2))</x:f>
        <x:v>5.49</x:v>
      </x:c>
      <x:c r="N16" s="7" t="n">
        <x:f>IF(J16="","",ROUND(J16*Tariffs!$D$6,2))</x:f>
        <x:v>5.49</x:v>
      </x:c>
      <x:c r="O16" s="7" t="n">
        <x:f>IF(J16="","",ROUND(J16*Tariffs!$D$7,2))</x:f>
        <x:v>5.5</x:v>
      </x:c>
      <x:c r="P16" s="5" t="str">
        <x:v>https://neuromia.ru/app/images/gpt-image</x:v>
      </x:c>
      <x:c r="Q16" s="8" t="n">
        <x:v>46282.375</x:v>
      </x:c>
      <x:c r="R16" s="5" t="str">
        <x:v>Цена показана до генерации при пустом промпте.</x:v>
      </x:c>
    </x:row>
    <x:row r="17" ht="22" customHeight="1">
      <x:c r="A17" s="5" t="str">
        <x:v>Изображение</x:v>
      </x:c>
      <x:c r="B17" s="5" t="str">
        <x:v>GPT Image 2</x:v>
      </x:c>
      <x:c r="C17" s="5" t="str">
        <x:v>Текст → изображение</x:v>
      </x:c>
      <x:c r="D17" s="5" t="str">
        <x:v>1K</x:v>
      </x:c>
      <x:c r="E17" s="5" t="str">
        <x:v>3:4</x:v>
      </x:c>
      <x:c r="F17" s="5" t="str"/>
      <x:c r="G17" s="5" t="str"/>
      <x:c r="H17" s="5" t="str">
        <x:v>Без исходного файла</x:v>
      </x:c>
      <x:c r="I17" s="6" t="n">
        <x:v>6.6</x:v>
      </x:c>
      <x:c r="J17" s="6" t="n">
        <x:v>6.6</x:v>
      </x:c>
      <x:c r="K17" s="5" t="str">
        <x:v>Точная цена в редакторе</x:v>
      </x:c>
      <x:c r="L17" s="5" t="str">
        <x:v>изображение</x:v>
      </x:c>
      <x:c r="M17" s="7" t="n">
        <x:f>IF(J17="","",ROUND(J17*Tariffs!$D$5,2))</x:f>
        <x:v>5.49</x:v>
      </x:c>
      <x:c r="N17" s="7" t="n">
        <x:f>IF(J17="","",ROUND(J17*Tariffs!$D$6,2))</x:f>
        <x:v>5.49</x:v>
      </x:c>
      <x:c r="O17" s="7" t="n">
        <x:f>IF(J17="","",ROUND(J17*Tariffs!$D$7,2))</x:f>
        <x:v>5.5</x:v>
      </x:c>
      <x:c r="P17" s="5" t="str">
        <x:v>https://neuromia.ru/app/images/gpt-image</x:v>
      </x:c>
      <x:c r="Q17" s="8" t="n">
        <x:v>46282.375</x:v>
      </x:c>
      <x:c r="R17" s="5" t="str">
        <x:v>Цена показана до генерации при пустом промпте.</x:v>
      </x:c>
    </x:row>
    <x:row r="18" ht="22" customHeight="1">
      <x:c r="A18" s="5" t="str">
        <x:v>Изображение</x:v>
      </x:c>
      <x:c r="B18" s="5" t="str">
        <x:v>GPT Image 2</x:v>
      </x:c>
      <x:c r="C18" s="5" t="str">
        <x:v>Текст → изображение</x:v>
      </x:c>
      <x:c r="D18" s="5" t="str">
        <x:v>2K</x:v>
      </x:c>
      <x:c r="E18" s="5" t="str">
        <x:v>1:1</x:v>
      </x:c>
      <x:c r="F18" s="5" t="str"/>
      <x:c r="G18" s="5" t="str"/>
      <x:c r="H18" s="5" t="str">
        <x:v>Без исходного файла</x:v>
      </x:c>
      <x:c r="I18" s="6" t="n">
        <x:v>11</x:v>
      </x:c>
      <x:c r="J18" s="6" t="n">
        <x:v>11</x:v>
      </x:c>
      <x:c r="K18" s="5" t="str">
        <x:v>Точная цена в редакторе</x:v>
      </x:c>
      <x:c r="L18" s="5" t="str">
        <x:v>изображение</x:v>
      </x:c>
      <x:c r="M18" s="7" t="n">
        <x:f>IF(J18="","",ROUND(J18*Tariffs!$D$5,2))</x:f>
        <x:v>9.15</x:v>
      </x:c>
      <x:c r="N18" s="7" t="n">
        <x:f>IF(J18="","",ROUND(J18*Tariffs!$D$6,2))</x:f>
        <x:v>9.16</x:v>
      </x:c>
      <x:c r="O18" s="7" t="n">
        <x:f>IF(J18="","",ROUND(J18*Tariffs!$D$7,2))</x:f>
        <x:v>9.16</x:v>
      </x:c>
      <x:c r="P18" s="5" t="str">
        <x:v>https://neuromia.ru/app/images/gpt-image</x:v>
      </x:c>
      <x:c r="Q18" s="8" t="n">
        <x:v>46282.375</x:v>
      </x:c>
      <x:c r="R18" s="5" t="str">
        <x:v>Цена показана до генерации при пустом промпте.</x:v>
      </x:c>
    </x:row>
    <x:row r="19" ht="22" customHeight="1">
      <x:c r="A19" s="5" t="str">
        <x:v>Изображение</x:v>
      </x:c>
      <x:c r="B19" s="5" t="str">
        <x:v>GPT Image 2</x:v>
      </x:c>
      <x:c r="C19" s="5" t="str">
        <x:v>Текст → изображение</x:v>
      </x:c>
      <x:c r="D19" s="5" t="str">
        <x:v>2K</x:v>
      </x:c>
      <x:c r="E19" s="5" t="str">
        <x:v>16:9</x:v>
      </x:c>
      <x:c r="F19" s="5" t="str"/>
      <x:c r="G19" s="5" t="str"/>
      <x:c r="H19" s="5" t="str">
        <x:v>Без исходного файла</x:v>
      </x:c>
      <x:c r="I19" s="6" t="n">
        <x:v>11</x:v>
      </x:c>
      <x:c r="J19" s="6" t="n">
        <x:v>11</x:v>
      </x:c>
      <x:c r="K19" s="5" t="str">
        <x:v>Точная цена в редакторе</x:v>
      </x:c>
      <x:c r="L19" s="5" t="str">
        <x:v>изображение</x:v>
      </x:c>
      <x:c r="M19" s="7" t="n">
        <x:f>IF(J19="","",ROUND(J19*Tariffs!$D$5,2))</x:f>
        <x:v>9.15</x:v>
      </x:c>
      <x:c r="N19" s="7" t="n">
        <x:f>IF(J19="","",ROUND(J19*Tariffs!$D$6,2))</x:f>
        <x:v>9.16</x:v>
      </x:c>
      <x:c r="O19" s="7" t="n">
        <x:f>IF(J19="","",ROUND(J19*Tariffs!$D$7,2))</x:f>
        <x:v>9.16</x:v>
      </x:c>
      <x:c r="P19" s="5" t="str">
        <x:v>https://neuromia.ru/app/images/gpt-image</x:v>
      </x:c>
      <x:c r="Q19" s="8" t="n">
        <x:v>46282.375</x:v>
      </x:c>
      <x:c r="R19" s="5" t="str">
        <x:v>Цена показана до генерации при пустом промпте.</x:v>
      </x:c>
    </x:row>
    <x:row r="20" ht="22" customHeight="1">
      <x:c r="A20" s="5" t="str">
        <x:v>Изображение</x:v>
      </x:c>
      <x:c r="B20" s="5" t="str">
        <x:v>GPT Image 2</x:v>
      </x:c>
      <x:c r="C20" s="5" t="str">
        <x:v>Текст → изображение</x:v>
      </x:c>
      <x:c r="D20" s="5" t="str">
        <x:v>2K</x:v>
      </x:c>
      <x:c r="E20" s="5" t="str">
        <x:v>9:16</x:v>
      </x:c>
      <x:c r="F20" s="5" t="str"/>
      <x:c r="G20" s="5" t="str"/>
      <x:c r="H20" s="5" t="str">
        <x:v>Без исходного файла</x:v>
      </x:c>
      <x:c r="I20" s="6" t="n">
        <x:v>11</x:v>
      </x:c>
      <x:c r="J20" s="6" t="n">
        <x:v>11</x:v>
      </x:c>
      <x:c r="K20" s="5" t="str">
        <x:v>Точная цена в редакторе</x:v>
      </x:c>
      <x:c r="L20" s="5" t="str">
        <x:v>изображение</x:v>
      </x:c>
      <x:c r="M20" s="7" t="n">
        <x:f>IF(J20="","",ROUND(J20*Tariffs!$D$5,2))</x:f>
        <x:v>9.15</x:v>
      </x:c>
      <x:c r="N20" s="7" t="n">
        <x:f>IF(J20="","",ROUND(J20*Tariffs!$D$6,2))</x:f>
        <x:v>9.16</x:v>
      </x:c>
      <x:c r="O20" s="7" t="n">
        <x:f>IF(J20="","",ROUND(J20*Tariffs!$D$7,2))</x:f>
        <x:v>9.16</x:v>
      </x:c>
      <x:c r="P20" s="5" t="str">
        <x:v>https://neuromia.ru/app/images/gpt-image</x:v>
      </x:c>
      <x:c r="Q20" s="8" t="n">
        <x:v>46282.375</x:v>
      </x:c>
      <x:c r="R20" s="5" t="str">
        <x:v>Цена показана до генерации при пустом промпте.</x:v>
      </x:c>
    </x:row>
    <x:row r="21" ht="22" customHeight="1">
      <x:c r="A21" s="5" t="str">
        <x:v>Изображение</x:v>
      </x:c>
      <x:c r="B21" s="5" t="str">
        <x:v>GPT Image 2</x:v>
      </x:c>
      <x:c r="C21" s="5" t="str">
        <x:v>Текст → изображение</x:v>
      </x:c>
      <x:c r="D21" s="5" t="str">
        <x:v>2K</x:v>
      </x:c>
      <x:c r="E21" s="5" t="str">
        <x:v>4:3</x:v>
      </x:c>
      <x:c r="F21" s="5" t="str"/>
      <x:c r="G21" s="5" t="str"/>
      <x:c r="H21" s="5" t="str">
        <x:v>Без исходного файла</x:v>
      </x:c>
      <x:c r="I21" s="6" t="n">
        <x:v>11</x:v>
      </x:c>
      <x:c r="J21" s="6" t="n">
        <x:v>11</x:v>
      </x:c>
      <x:c r="K21" s="5" t="str">
        <x:v>Точная цена в редакторе</x:v>
      </x:c>
      <x:c r="L21" s="5" t="str">
        <x:v>изображение</x:v>
      </x:c>
      <x:c r="M21" s="7" t="n">
        <x:f>IF(J21="","",ROUND(J21*Tariffs!$D$5,2))</x:f>
        <x:v>9.15</x:v>
      </x:c>
      <x:c r="N21" s="7" t="n">
        <x:f>IF(J21="","",ROUND(J21*Tariffs!$D$6,2))</x:f>
        <x:v>9.16</x:v>
      </x:c>
      <x:c r="O21" s="7" t="n">
        <x:f>IF(J21="","",ROUND(J21*Tariffs!$D$7,2))</x:f>
        <x:v>9.16</x:v>
      </x:c>
      <x:c r="P21" s="5" t="str">
        <x:v>https://neuromia.ru/app/images/gpt-image</x:v>
      </x:c>
      <x:c r="Q21" s="8" t="n">
        <x:v>46282.375</x:v>
      </x:c>
      <x:c r="R21" s="5" t="str">
        <x:v>Цена показана до генерации при пустом промпте.</x:v>
      </x:c>
    </x:row>
    <x:row r="22" ht="22" customHeight="1">
      <x:c r="A22" s="5" t="str">
        <x:v>Изображение</x:v>
      </x:c>
      <x:c r="B22" s="5" t="str">
        <x:v>GPT Image 2</x:v>
      </x:c>
      <x:c r="C22" s="5" t="str">
        <x:v>Текст → изображение</x:v>
      </x:c>
      <x:c r="D22" s="5" t="str">
        <x:v>2K</x:v>
      </x:c>
      <x:c r="E22" s="5" t="str">
        <x:v>3:4</x:v>
      </x:c>
      <x:c r="F22" s="5" t="str"/>
      <x:c r="G22" s="5" t="str"/>
      <x:c r="H22" s="5" t="str">
        <x:v>Без исходного файла</x:v>
      </x:c>
      <x:c r="I22" s="6" t="n">
        <x:v>11</x:v>
      </x:c>
      <x:c r="J22" s="6" t="n">
        <x:v>11</x:v>
      </x:c>
      <x:c r="K22" s="5" t="str">
        <x:v>Точная цена в редакторе</x:v>
      </x:c>
      <x:c r="L22" s="5" t="str">
        <x:v>изображение</x:v>
      </x:c>
      <x:c r="M22" s="7" t="n">
        <x:f>IF(J22="","",ROUND(J22*Tariffs!$D$5,2))</x:f>
        <x:v>9.15</x:v>
      </x:c>
      <x:c r="N22" s="7" t="n">
        <x:f>IF(J22="","",ROUND(J22*Tariffs!$D$6,2))</x:f>
        <x:v>9.16</x:v>
      </x:c>
      <x:c r="O22" s="7" t="n">
        <x:f>IF(J22="","",ROUND(J22*Tariffs!$D$7,2))</x:f>
        <x:v>9.16</x:v>
      </x:c>
      <x:c r="P22" s="5" t="str">
        <x:v>https://neuromia.ru/app/images/gpt-image</x:v>
      </x:c>
      <x:c r="Q22" s="8" t="n">
        <x:v>46282.375</x:v>
      </x:c>
      <x:c r="R22" s="5" t="str">
        <x:v>Цена показана до генерации при пустом промпте.</x:v>
      </x:c>
    </x:row>
    <x:row r="23" ht="22" customHeight="1">
      <x:c r="A23" s="5" t="str">
        <x:v>Изображение</x:v>
      </x:c>
      <x:c r="B23" s="5" t="str">
        <x:v>GPT Image 2</x:v>
      </x:c>
      <x:c r="C23" s="5" t="str">
        <x:v>Текст → изображение</x:v>
      </x:c>
      <x:c r="D23" s="5" t="str">
        <x:v>4K</x:v>
      </x:c>
      <x:c r="E23" s="5" t="str">
        <x:v>16:9</x:v>
      </x:c>
      <x:c r="F23" s="5" t="str"/>
      <x:c r="G23" s="5" t="str"/>
      <x:c r="H23" s="5" t="str">
        <x:v>Без исходного файла</x:v>
      </x:c>
      <x:c r="I23" s="6" t="n">
        <x:v>17.6</x:v>
      </x:c>
      <x:c r="J23" s="6" t="n">
        <x:v>17.6</x:v>
      </x:c>
      <x:c r="K23" s="5" t="str">
        <x:v>Точная цена в редакторе</x:v>
      </x:c>
      <x:c r="L23" s="5" t="str">
        <x:v>изображение</x:v>
      </x:c>
      <x:c r="M23" s="7" t="n">
        <x:f>IF(J23="","",ROUND(J23*Tariffs!$D$5,2))</x:f>
        <x:v>14.64</x:v>
      </x:c>
      <x:c r="N23" s="7" t="n">
        <x:f>IF(J23="","",ROUND(J23*Tariffs!$D$6,2))</x:f>
        <x:v>14.65</x:v>
      </x:c>
      <x:c r="O23" s="7" t="n">
        <x:f>IF(J23="","",ROUND(J23*Tariffs!$D$7,2))</x:f>
        <x:v>14.66</x:v>
      </x:c>
      <x:c r="P23" s="5" t="str">
        <x:v>https://neuromia.ru/app/images/gpt-image</x:v>
      </x:c>
      <x:c r="Q23" s="8" t="n">
        <x:v>46282.375</x:v>
      </x:c>
      <x:c r="R23" s="5" t="str">
        <x:v>Цена показана до генерации при пустом промпте.</x:v>
      </x:c>
    </x:row>
    <x:row r="24" ht="22" customHeight="1">
      <x:c r="A24" s="5" t="str">
        <x:v>Изображение</x:v>
      </x:c>
      <x:c r="B24" s="5" t="str">
        <x:v>GPT Image 2</x:v>
      </x:c>
      <x:c r="C24" s="5" t="str">
        <x:v>Текст → изображение</x:v>
      </x:c>
      <x:c r="D24" s="5" t="str">
        <x:v>4K</x:v>
      </x:c>
      <x:c r="E24" s="5" t="str">
        <x:v>9:16</x:v>
      </x:c>
      <x:c r="F24" s="5" t="str"/>
      <x:c r="G24" s="5" t="str"/>
      <x:c r="H24" s="5" t="str">
        <x:v>Без исходного файла</x:v>
      </x:c>
      <x:c r="I24" s="6" t="n">
        <x:v>17.6</x:v>
      </x:c>
      <x:c r="J24" s="6" t="n">
        <x:v>17.6</x:v>
      </x:c>
      <x:c r="K24" s="5" t="str">
        <x:v>Точная цена в редакторе</x:v>
      </x:c>
      <x:c r="L24" s="5" t="str">
        <x:v>изображение</x:v>
      </x:c>
      <x:c r="M24" s="7" t="n">
        <x:f>IF(J24="","",ROUND(J24*Tariffs!$D$5,2))</x:f>
        <x:v>14.64</x:v>
      </x:c>
      <x:c r="N24" s="7" t="n">
        <x:f>IF(J24="","",ROUND(J24*Tariffs!$D$6,2))</x:f>
        <x:v>14.65</x:v>
      </x:c>
      <x:c r="O24" s="7" t="n">
        <x:f>IF(J24="","",ROUND(J24*Tariffs!$D$7,2))</x:f>
        <x:v>14.66</x:v>
      </x:c>
      <x:c r="P24" s="5" t="str">
        <x:v>https://neuromia.ru/app/images/gpt-image</x:v>
      </x:c>
      <x:c r="Q24" s="8" t="n">
        <x:v>46282.375</x:v>
      </x:c>
      <x:c r="R24" s="5" t="str">
        <x:v>Цена показана до генерации при пустом промпте.</x:v>
      </x:c>
    </x:row>
    <x:row r="25" ht="22" customHeight="1">
      <x:c r="A25" s="5" t="str">
        <x:v>Изображение</x:v>
      </x:c>
      <x:c r="B25" s="5" t="str">
        <x:v>GPT Image 2</x:v>
      </x:c>
      <x:c r="C25" s="5" t="str">
        <x:v>Текст → изображение</x:v>
      </x:c>
      <x:c r="D25" s="5" t="str">
        <x:v>4K</x:v>
      </x:c>
      <x:c r="E25" s="5" t="str">
        <x:v>4:3</x:v>
      </x:c>
      <x:c r="F25" s="5" t="str"/>
      <x:c r="G25" s="5" t="str"/>
      <x:c r="H25" s="5" t="str">
        <x:v>Без исходного файла</x:v>
      </x:c>
      <x:c r="I25" s="6" t="n">
        <x:v>17.6</x:v>
      </x:c>
      <x:c r="J25" s="6" t="n">
        <x:v>17.6</x:v>
      </x:c>
      <x:c r="K25" s="5" t="str">
        <x:v>Точная цена в редакторе</x:v>
      </x:c>
      <x:c r="L25" s="5" t="str">
        <x:v>изображение</x:v>
      </x:c>
      <x:c r="M25" s="7" t="n">
        <x:f>IF(J25="","",ROUND(J25*Tariffs!$D$5,2))</x:f>
        <x:v>14.64</x:v>
      </x:c>
      <x:c r="N25" s="7" t="n">
        <x:f>IF(J25="","",ROUND(J25*Tariffs!$D$6,2))</x:f>
        <x:v>14.65</x:v>
      </x:c>
      <x:c r="O25" s="7" t="n">
        <x:f>IF(J25="","",ROUND(J25*Tariffs!$D$7,2))</x:f>
        <x:v>14.66</x:v>
      </x:c>
      <x:c r="P25" s="5" t="str">
        <x:v>https://neuromia.ru/app/images/gpt-image</x:v>
      </x:c>
      <x:c r="Q25" s="8" t="n">
        <x:v>46282.375</x:v>
      </x:c>
      <x:c r="R25" s="5" t="str">
        <x:v>Цена показана до генерации при пустом промпте.</x:v>
      </x:c>
    </x:row>
    <x:row r="26" ht="22" customHeight="1">
      <x:c r="A26" s="5" t="str">
        <x:v>Изображение</x:v>
      </x:c>
      <x:c r="B26" s="5" t="str">
        <x:v>GPT Image 2</x:v>
      </x:c>
      <x:c r="C26" s="5" t="str">
        <x:v>Текст → изображение</x:v>
      </x:c>
      <x:c r="D26" s="5" t="str">
        <x:v>4K</x:v>
      </x:c>
      <x:c r="E26" s="5" t="str">
        <x:v>3:4</x:v>
      </x:c>
      <x:c r="F26" s="5" t="str"/>
      <x:c r="G26" s="5" t="str"/>
      <x:c r="H26" s="5" t="str">
        <x:v>Без исходного файла</x:v>
      </x:c>
      <x:c r="I26" s="6" t="n">
        <x:v>17.6</x:v>
      </x:c>
      <x:c r="J26" s="6" t="n">
        <x:v>17.6</x:v>
      </x:c>
      <x:c r="K26" s="5" t="str">
        <x:v>Точная цена в редакторе</x:v>
      </x:c>
      <x:c r="L26" s="5" t="str">
        <x:v>изображение</x:v>
      </x:c>
      <x:c r="M26" s="7" t="n">
        <x:f>IF(J26="","",ROUND(J26*Tariffs!$D$5,2))</x:f>
        <x:v>14.64</x:v>
      </x:c>
      <x:c r="N26" s="7" t="n">
        <x:f>IF(J26="","",ROUND(J26*Tariffs!$D$6,2))</x:f>
        <x:v>14.65</x:v>
      </x:c>
      <x:c r="O26" s="7" t="n">
        <x:f>IF(J26="","",ROUND(J26*Tariffs!$D$7,2))</x:f>
        <x:v>14.66</x:v>
      </x:c>
      <x:c r="P26" s="5" t="str">
        <x:v>https://neuromia.ru/app/images/gpt-image</x:v>
      </x:c>
      <x:c r="Q26" s="8" t="n">
        <x:v>46282.375</x:v>
      </x:c>
      <x:c r="R26" s="5" t="str">
        <x:v>Цена показана до генерации при пустом промпте.</x:v>
      </x:c>
    </x:row>
    <x:row r="27" ht="22" customHeight="1">
      <x:c r="A27" s="5" t="str">
        <x:v>Изображение</x:v>
      </x:c>
      <x:c r="B27" s="5" t="str">
        <x:v>GPT Image 2.5 Flare</x:v>
      </x:c>
      <x:c r="C27" s="5" t="str">
        <x:v>Текст → изображение</x:v>
      </x:c>
      <x:c r="D27" s="5" t="str">
        <x:v>4K</x:v>
      </x:c>
      <x:c r="E27" s="5" t="str">
        <x:v>1:1</x:v>
      </x:c>
      <x:c r="F27" s="5" t="str"/>
      <x:c r="G27" s="5" t="str"/>
      <x:c r="H27" s="5" t="str">
        <x:v>Фон: авто</x:v>
      </x:c>
      <x:c r="I27" s="6" t="n">
        <x:v>17.6</x:v>
      </x:c>
      <x:c r="J27" s="6" t="n">
        <x:v>17.6</x:v>
      </x:c>
      <x:c r="K27" s="5" t="str">
        <x:v>Точная цена в редакторе</x:v>
      </x:c>
      <x:c r="L27" s="5" t="str">
        <x:v>изображение</x:v>
      </x:c>
      <x:c r="M27" s="7" t="n">
        <x:f>IF(J27="","",ROUND(J27*Tariffs!$D$5,2))</x:f>
        <x:v>14.64</x:v>
      </x:c>
      <x:c r="N27" s="7" t="n">
        <x:f>IF(J27="","",ROUND(J27*Tariffs!$D$6,2))</x:f>
        <x:v>14.65</x:v>
      </x:c>
      <x:c r="O27" s="7" t="n">
        <x:f>IF(J27="","",ROUND(J27*Tariffs!$D$7,2))</x:f>
        <x:v>14.66</x:v>
      </x:c>
      <x:c r="P27" s="5" t="str">
        <x:v>https://neuromia.ru/app/images/gpt-image</x:v>
      </x:c>
      <x:c r="Q27" s="8" t="n">
        <x:v>46282.375</x:v>
      </x:c>
      <x:c r="R27" s="5" t="str">
        <x:v>Все форматы при 4K проверены отдельно.</x:v>
      </x:c>
    </x:row>
    <x:row r="28" ht="22" customHeight="1">
      <x:c r="A28" s="5" t="str">
        <x:v>Изображение</x:v>
      </x:c>
      <x:c r="B28" s="5" t="str">
        <x:v>GPT Image 2.5 Flare</x:v>
      </x:c>
      <x:c r="C28" s="5" t="str">
        <x:v>Текст → изображение</x:v>
      </x:c>
      <x:c r="D28" s="5" t="str">
        <x:v>4K</x:v>
      </x:c>
      <x:c r="E28" s="5" t="str">
        <x:v>16:9</x:v>
      </x:c>
      <x:c r="F28" s="5" t="str"/>
      <x:c r="G28" s="5" t="str"/>
      <x:c r="H28" s="5" t="str">
        <x:v>Фон: авто</x:v>
      </x:c>
      <x:c r="I28" s="6" t="n">
        <x:v>17.6</x:v>
      </x:c>
      <x:c r="J28" s="6" t="n">
        <x:v>17.6</x:v>
      </x:c>
      <x:c r="K28" s="5" t="str">
        <x:v>Точная цена в редакторе</x:v>
      </x:c>
      <x:c r="L28" s="5" t="str">
        <x:v>изображение</x:v>
      </x:c>
      <x:c r="M28" s="7" t="n">
        <x:f>IF(J28="","",ROUND(J28*Tariffs!$D$5,2))</x:f>
        <x:v>14.64</x:v>
      </x:c>
      <x:c r="N28" s="7" t="n">
        <x:f>IF(J28="","",ROUND(J28*Tariffs!$D$6,2))</x:f>
        <x:v>14.65</x:v>
      </x:c>
      <x:c r="O28" s="7" t="n">
        <x:f>IF(J28="","",ROUND(J28*Tariffs!$D$7,2))</x:f>
        <x:v>14.66</x:v>
      </x:c>
      <x:c r="P28" s="5" t="str">
        <x:v>https://neuromia.ru/app/images/gpt-image</x:v>
      </x:c>
      <x:c r="Q28" s="8" t="n">
        <x:v>46282.375</x:v>
      </x:c>
      <x:c r="R28" s="5" t="str">
        <x:v>Все форматы при 4K проверены отдельно.</x:v>
      </x:c>
    </x:row>
    <x:row r="29" ht="22" customHeight="1">
      <x:c r="A29" s="5" t="str">
        <x:v>Изображение</x:v>
      </x:c>
      <x:c r="B29" s="5" t="str">
        <x:v>GPT Image 2.5 Flare</x:v>
      </x:c>
      <x:c r="C29" s="5" t="str">
        <x:v>Текст → изображение</x:v>
      </x:c>
      <x:c r="D29" s="5" t="str">
        <x:v>4K</x:v>
      </x:c>
      <x:c r="E29" s="5" t="str">
        <x:v>9:16</x:v>
      </x:c>
      <x:c r="F29" s="5" t="str"/>
      <x:c r="G29" s="5" t="str"/>
      <x:c r="H29" s="5" t="str">
        <x:v>Фон: авто</x:v>
      </x:c>
      <x:c r="I29" s="6" t="n">
        <x:v>17.6</x:v>
      </x:c>
      <x:c r="J29" s="6" t="n">
        <x:v>17.6</x:v>
      </x:c>
      <x:c r="K29" s="5" t="str">
        <x:v>Точная цена в редакторе</x:v>
      </x:c>
      <x:c r="L29" s="5" t="str">
        <x:v>изображение</x:v>
      </x:c>
      <x:c r="M29" s="7" t="n">
        <x:f>IF(J29="","",ROUND(J29*Tariffs!$D$5,2))</x:f>
        <x:v>14.64</x:v>
      </x:c>
      <x:c r="N29" s="7" t="n">
        <x:f>IF(J29="","",ROUND(J29*Tariffs!$D$6,2))</x:f>
        <x:v>14.65</x:v>
      </x:c>
      <x:c r="O29" s="7" t="n">
        <x:f>IF(J29="","",ROUND(J29*Tariffs!$D$7,2))</x:f>
        <x:v>14.66</x:v>
      </x:c>
      <x:c r="P29" s="5" t="str">
        <x:v>https://neuromia.ru/app/images/gpt-image</x:v>
      </x:c>
      <x:c r="Q29" s="8" t="n">
        <x:v>46282.375</x:v>
      </x:c>
      <x:c r="R29" s="5" t="str">
        <x:v>Все форматы при 4K проверены отдельно.</x:v>
      </x:c>
    </x:row>
    <x:row r="30" ht="22" customHeight="1">
      <x:c r="A30" s="5" t="str">
        <x:v>Изображение</x:v>
      </x:c>
      <x:c r="B30" s="5" t="str">
        <x:v>GPT Image 2.5 Flare</x:v>
      </x:c>
      <x:c r="C30" s="5" t="str">
        <x:v>Текст → изображение</x:v>
      </x:c>
      <x:c r="D30" s="5" t="str">
        <x:v>4K</x:v>
      </x:c>
      <x:c r="E30" s="5" t="str">
        <x:v>4:3</x:v>
      </x:c>
      <x:c r="F30" s="5" t="str"/>
      <x:c r="G30" s="5" t="str"/>
      <x:c r="H30" s="5" t="str">
        <x:v>Фон: авто</x:v>
      </x:c>
      <x:c r="I30" s="6" t="n">
        <x:v>17.6</x:v>
      </x:c>
      <x:c r="J30" s="6" t="n">
        <x:v>17.6</x:v>
      </x:c>
      <x:c r="K30" s="5" t="str">
        <x:v>Точная цена в редакторе</x:v>
      </x:c>
      <x:c r="L30" s="5" t="str">
        <x:v>изображение</x:v>
      </x:c>
      <x:c r="M30" s="7" t="n">
        <x:f>IF(J30="","",ROUND(J30*Tariffs!$D$5,2))</x:f>
        <x:v>14.64</x:v>
      </x:c>
      <x:c r="N30" s="7" t="n">
        <x:f>IF(J30="","",ROUND(J30*Tariffs!$D$6,2))</x:f>
        <x:v>14.65</x:v>
      </x:c>
      <x:c r="O30" s="7" t="n">
        <x:f>IF(J30="","",ROUND(J30*Tariffs!$D$7,2))</x:f>
        <x:v>14.66</x:v>
      </x:c>
      <x:c r="P30" s="5" t="str">
        <x:v>https://neuromia.ru/app/images/gpt-image</x:v>
      </x:c>
      <x:c r="Q30" s="8" t="n">
        <x:v>46282.375</x:v>
      </x:c>
      <x:c r="R30" s="5" t="str">
        <x:v>Все форматы при 4K проверены отдельно.</x:v>
      </x:c>
    </x:row>
    <x:row r="31" ht="22" customHeight="1">
      <x:c r="A31" s="5" t="str">
        <x:v>Изображение</x:v>
      </x:c>
      <x:c r="B31" s="5" t="str">
        <x:v>GPT Image 2.5 Flare</x:v>
      </x:c>
      <x:c r="C31" s="5" t="str">
        <x:v>Текст → изображение</x:v>
      </x:c>
      <x:c r="D31" s="5" t="str">
        <x:v>4K</x:v>
      </x:c>
      <x:c r="E31" s="5" t="str">
        <x:v>3:4</x:v>
      </x:c>
      <x:c r="F31" s="5" t="str"/>
      <x:c r="G31" s="5" t="str"/>
      <x:c r="H31" s="5" t="str">
        <x:v>Фон: авто</x:v>
      </x:c>
      <x:c r="I31" s="6" t="n">
        <x:v>17.6</x:v>
      </x:c>
      <x:c r="J31" s="6" t="n">
        <x:v>17.6</x:v>
      </x:c>
      <x:c r="K31" s="5" t="str">
        <x:v>Точная цена в редакторе</x:v>
      </x:c>
      <x:c r="L31" s="5" t="str">
        <x:v>изображение</x:v>
      </x:c>
      <x:c r="M31" s="7" t="n">
        <x:f>IF(J31="","",ROUND(J31*Tariffs!$D$5,2))</x:f>
        <x:v>14.64</x:v>
      </x:c>
      <x:c r="N31" s="7" t="n">
        <x:f>IF(J31="","",ROUND(J31*Tariffs!$D$6,2))</x:f>
        <x:v>14.65</x:v>
      </x:c>
      <x:c r="O31" s="7" t="n">
        <x:f>IF(J31="","",ROUND(J31*Tariffs!$D$7,2))</x:f>
        <x:v>14.66</x:v>
      </x:c>
      <x:c r="P31" s="5" t="str">
        <x:v>https://neuromia.ru/app/images/gpt-image</x:v>
      </x:c>
      <x:c r="Q31" s="8" t="n">
        <x:v>46282.375</x:v>
      </x:c>
      <x:c r="R31" s="5" t="str">
        <x:v>Все форматы при 4K проверены отдельно.</x:v>
      </x:c>
    </x:row>
    <x:row r="32" ht="22" customHeight="1">
      <x:c r="A32" s="5" t="str">
        <x:v>Изображение</x:v>
      </x:c>
      <x:c r="B32" s="5" t="str">
        <x:v>GPT Image 2.5 Flare</x:v>
      </x:c>
      <x:c r="C32" s="5" t="str">
        <x:v>Текст → изображение</x:v>
      </x:c>
      <x:c r="D32" s="5" t="str">
        <x:v>4K</x:v>
      </x:c>
      <x:c r="E32" s="5" t="str">
        <x:v>3:2</x:v>
      </x:c>
      <x:c r="F32" s="5" t="str"/>
      <x:c r="G32" s="5" t="str"/>
      <x:c r="H32" s="5" t="str">
        <x:v>Фон: авто</x:v>
      </x:c>
      <x:c r="I32" s="6" t="n">
        <x:v>17.6</x:v>
      </x:c>
      <x:c r="J32" s="6" t="n">
        <x:v>17.6</x:v>
      </x:c>
      <x:c r="K32" s="5" t="str">
        <x:v>Точная цена в редакторе</x:v>
      </x:c>
      <x:c r="L32" s="5" t="str">
        <x:v>изображение</x:v>
      </x:c>
      <x:c r="M32" s="7" t="n">
        <x:f>IF(J32="","",ROUND(J32*Tariffs!$D$5,2))</x:f>
        <x:v>14.64</x:v>
      </x:c>
      <x:c r="N32" s="7" t="n">
        <x:f>IF(J32="","",ROUND(J32*Tariffs!$D$6,2))</x:f>
        <x:v>14.65</x:v>
      </x:c>
      <x:c r="O32" s="7" t="n">
        <x:f>IF(J32="","",ROUND(J32*Tariffs!$D$7,2))</x:f>
        <x:v>14.66</x:v>
      </x:c>
      <x:c r="P32" s="5" t="str">
        <x:v>https://neuromia.ru/app/images/gpt-image</x:v>
      </x:c>
      <x:c r="Q32" s="8" t="n">
        <x:v>46282.375</x:v>
      </x:c>
      <x:c r="R32" s="5" t="str">
        <x:v>Все форматы при 4K проверены отдельно.</x:v>
      </x:c>
    </x:row>
    <x:row r="33" ht="22" customHeight="1">
      <x:c r="A33" s="5" t="str">
        <x:v>Изображение</x:v>
      </x:c>
      <x:c r="B33" s="5" t="str">
        <x:v>GPT Image 2.5 Flare</x:v>
      </x:c>
      <x:c r="C33" s="5" t="str">
        <x:v>Текст → изображение</x:v>
      </x:c>
      <x:c r="D33" s="5" t="str">
        <x:v>4K</x:v>
      </x:c>
      <x:c r="E33" s="5" t="str">
        <x:v>2:3</x:v>
      </x:c>
      <x:c r="F33" s="5" t="str"/>
      <x:c r="G33" s="5" t="str"/>
      <x:c r="H33" s="5" t="str">
        <x:v>Фон: авто</x:v>
      </x:c>
      <x:c r="I33" s="6" t="n">
        <x:v>17.6</x:v>
      </x:c>
      <x:c r="J33" s="6" t="n">
        <x:v>17.6</x:v>
      </x:c>
      <x:c r="K33" s="5" t="str">
        <x:v>Точная цена в редакторе</x:v>
      </x:c>
      <x:c r="L33" s="5" t="str">
        <x:v>изображение</x:v>
      </x:c>
      <x:c r="M33" s="7" t="n">
        <x:f>IF(J33="","",ROUND(J33*Tariffs!$D$5,2))</x:f>
        <x:v>14.64</x:v>
      </x:c>
      <x:c r="N33" s="7" t="n">
        <x:f>IF(J33="","",ROUND(J33*Tariffs!$D$6,2))</x:f>
        <x:v>14.65</x:v>
      </x:c>
      <x:c r="O33" s="7" t="n">
        <x:f>IF(J33="","",ROUND(J33*Tariffs!$D$7,2))</x:f>
        <x:v>14.66</x:v>
      </x:c>
      <x:c r="P33" s="5" t="str">
        <x:v>https://neuromia.ru/app/images/gpt-image</x:v>
      </x:c>
      <x:c r="Q33" s="8" t="n">
        <x:v>46282.375</x:v>
      </x:c>
      <x:c r="R33" s="5" t="str">
        <x:v>Все форматы при 4K проверены отдельно.</x:v>
      </x:c>
    </x:row>
    <x:row r="34" ht="22" customHeight="1">
      <x:c r="A34" s="5" t="str">
        <x:v>Изображение</x:v>
      </x:c>
      <x:c r="B34" s="5" t="str">
        <x:v>GPT Image 2.5 Flare</x:v>
      </x:c>
      <x:c r="C34" s="5" t="str">
        <x:v>Текст → изображение</x:v>
      </x:c>
      <x:c r="D34" s="5" t="str">
        <x:v>4K</x:v>
      </x:c>
      <x:c r="E34" s="5" t="str">
        <x:v>21:9</x:v>
      </x:c>
      <x:c r="F34" s="5" t="str"/>
      <x:c r="G34" s="5" t="str"/>
      <x:c r="H34" s="5" t="str">
        <x:v>Фон: авто</x:v>
      </x:c>
      <x:c r="I34" s="6" t="n">
        <x:v>17.6</x:v>
      </x:c>
      <x:c r="J34" s="6" t="n">
        <x:v>17.6</x:v>
      </x:c>
      <x:c r="K34" s="5" t="str">
        <x:v>Точная цена в редакторе</x:v>
      </x:c>
      <x:c r="L34" s="5" t="str">
        <x:v>изображение</x:v>
      </x:c>
      <x:c r="M34" s="7" t="n">
        <x:f>IF(J34="","",ROUND(J34*Tariffs!$D$5,2))</x:f>
        <x:v>14.64</x:v>
      </x:c>
      <x:c r="N34" s="7" t="n">
        <x:f>IF(J34="","",ROUND(J34*Tariffs!$D$6,2))</x:f>
        <x:v>14.65</x:v>
      </x:c>
      <x:c r="O34" s="7" t="n">
        <x:f>IF(J34="","",ROUND(J34*Tariffs!$D$7,2))</x:f>
        <x:v>14.66</x:v>
      </x:c>
      <x:c r="P34" s="5" t="str">
        <x:v>https://neuromia.ru/app/images/gpt-image</x:v>
      </x:c>
      <x:c r="Q34" s="8" t="n">
        <x:v>46282.375</x:v>
      </x:c>
      <x:c r="R34" s="5" t="str">
        <x:v>Все форматы при 4K проверены отдельно.</x:v>
      </x:c>
    </x:row>
    <x:row r="35" ht="22" customHeight="1">
      <x:c r="A35" s="5" t="str">
        <x:v>Изображение</x:v>
      </x:c>
      <x:c r="B35" s="5" t="str">
        <x:v>GPT Image 2.5 Flare</x:v>
      </x:c>
      <x:c r="C35" s="5" t="str">
        <x:v>Текст → изображение</x:v>
      </x:c>
      <x:c r="D35" s="5" t="str">
        <x:v>4K</x:v>
      </x:c>
      <x:c r="E35" s="5" t="str">
        <x:v>1:1</x:v>
      </x:c>
      <x:c r="F35" s="5" t="str"/>
      <x:c r="G35" s="5" t="str"/>
      <x:c r="H35" s="5" t="str">
        <x:v>Фон: Авто</x:v>
      </x:c>
      <x:c r="I35" s="6" t="n">
        <x:v>17.6</x:v>
      </x:c>
      <x:c r="J35" s="6" t="n">
        <x:v>17.6</x:v>
      </x:c>
      <x:c r="K35" s="5" t="str">
        <x:v>Точная цена в редакторе</x:v>
      </x:c>
      <x:c r="L35" s="5" t="str">
        <x:v>изображение</x:v>
      </x:c>
      <x:c r="M35" s="7" t="n">
        <x:f>IF(J35="","",ROUND(J35*Tariffs!$D$5,2))</x:f>
        <x:v>14.64</x:v>
      </x:c>
      <x:c r="N35" s="7" t="n">
        <x:f>IF(J35="","",ROUND(J35*Tariffs!$D$6,2))</x:f>
        <x:v>14.65</x:v>
      </x:c>
      <x:c r="O35" s="7" t="n">
        <x:f>IF(J35="","",ROUND(J35*Tariffs!$D$7,2))</x:f>
        <x:v>14.66</x:v>
      </x:c>
      <x:c r="P35" s="5" t="str">
        <x:v>https://neuromia.ru/app/images/gpt-image</x:v>
      </x:c>
      <x:c r="Q35" s="8" t="n">
        <x:v>46282.375</x:v>
      </x:c>
      <x:c r="R35" s="5" t="str"/>
    </x:row>
    <x:row r="36" ht="22" customHeight="1">
      <x:c r="A36" s="5" t="str">
        <x:v>Изображение</x:v>
      </x:c>
      <x:c r="B36" s="5" t="str">
        <x:v>GPT Image 2.5 Flare</x:v>
      </x:c>
      <x:c r="C36" s="5" t="str">
        <x:v>Текст → изображение</x:v>
      </x:c>
      <x:c r="D36" s="5" t="str">
        <x:v>4K</x:v>
      </x:c>
      <x:c r="E36" s="5" t="str">
        <x:v>1:1</x:v>
      </x:c>
      <x:c r="F36" s="5" t="str"/>
      <x:c r="G36" s="5" t="str"/>
      <x:c r="H36" s="5" t="str">
        <x:v>Фон: Прозрачный</x:v>
      </x:c>
      <x:c r="I36" s="6" t="n">
        <x:v>17.6</x:v>
      </x:c>
      <x:c r="J36" s="6" t="n">
        <x:v>17.6</x:v>
      </x:c>
      <x:c r="K36" s="5" t="str">
        <x:v>Точная цена в редакторе</x:v>
      </x:c>
      <x:c r="L36" s="5" t="str">
        <x:v>изображение</x:v>
      </x:c>
      <x:c r="M36" s="7" t="n">
        <x:f>IF(J36="","",ROUND(J36*Tariffs!$D$5,2))</x:f>
        <x:v>14.64</x:v>
      </x:c>
      <x:c r="N36" s="7" t="n">
        <x:f>IF(J36="","",ROUND(J36*Tariffs!$D$6,2))</x:f>
        <x:v>14.65</x:v>
      </x:c>
      <x:c r="O36" s="7" t="n">
        <x:f>IF(J36="","",ROUND(J36*Tariffs!$D$7,2))</x:f>
        <x:v>14.66</x:v>
      </x:c>
      <x:c r="P36" s="5" t="str">
        <x:v>https://neuromia.ru/app/images/gpt-image</x:v>
      </x:c>
      <x:c r="Q36" s="8" t="n">
        <x:v>46282.375</x:v>
      </x:c>
      <x:c r="R36" s="5" t="str"/>
    </x:row>
    <x:row r="37" ht="22" customHeight="1">
      <x:c r="A37" s="5" t="str">
        <x:v>Изображение</x:v>
      </x:c>
      <x:c r="B37" s="5" t="str">
        <x:v>GPT Image 2.5 Flare</x:v>
      </x:c>
      <x:c r="C37" s="5" t="str">
        <x:v>Текст → изображение</x:v>
      </x:c>
      <x:c r="D37" s="5" t="str">
        <x:v>4K</x:v>
      </x:c>
      <x:c r="E37" s="5" t="str">
        <x:v>1:1</x:v>
      </x:c>
      <x:c r="F37" s="5" t="str"/>
      <x:c r="G37" s="5" t="str"/>
      <x:c r="H37" s="5" t="str">
        <x:v>Фон: Непрозрачный</x:v>
      </x:c>
      <x:c r="I37" s="6" t="n">
        <x:v>17.6</x:v>
      </x:c>
      <x:c r="J37" s="6" t="n">
        <x:v>17.6</x:v>
      </x:c>
      <x:c r="K37" s="5" t="str">
        <x:v>Точная цена в редакторе</x:v>
      </x:c>
      <x:c r="L37" s="5" t="str">
        <x:v>изображение</x:v>
      </x:c>
      <x:c r="M37" s="7" t="n">
        <x:f>IF(J37="","",ROUND(J37*Tariffs!$D$5,2))</x:f>
        <x:v>14.64</x:v>
      </x:c>
      <x:c r="N37" s="7" t="n">
        <x:f>IF(J37="","",ROUND(J37*Tariffs!$D$6,2))</x:f>
        <x:v>14.65</x:v>
      </x:c>
      <x:c r="O37" s="7" t="n">
        <x:f>IF(J37="","",ROUND(J37*Tariffs!$D$7,2))</x:f>
        <x:v>14.66</x:v>
      </x:c>
      <x:c r="P37" s="5" t="str">
        <x:v>https://neuromia.ru/app/images/gpt-image</x:v>
      </x:c>
      <x:c r="Q37" s="8" t="n">
        <x:v>46282.375</x:v>
      </x:c>
      <x:c r="R37" s="5" t="str"/>
    </x:row>
    <x:row r="38" ht="22" customHeight="1">
      <x:c r="A38" s="5" t="str">
        <x:v>Изображение</x:v>
      </x:c>
      <x:c r="B38" s="5" t="str">
        <x:v>GPT Image 2.5 Sunburst</x:v>
      </x:c>
      <x:c r="C38" s="5" t="str">
        <x:v>Текст → изображение</x:v>
      </x:c>
      <x:c r="D38" s="5" t="str">
        <x:v>4K</x:v>
      </x:c>
      <x:c r="E38" s="5" t="str">
        <x:v>16:9</x:v>
      </x:c>
      <x:c r="F38" s="5" t="str"/>
      <x:c r="G38" s="5" t="str"/>
      <x:c r="H38" s="5" t="str">
        <x:v>Фон: прозрачный</x:v>
      </x:c>
      <x:c r="I38" s="6" t="n">
        <x:v>17.6</x:v>
      </x:c>
      <x:c r="J38" s="6" t="n">
        <x:v>17.6</x:v>
      </x:c>
      <x:c r="K38" s="5" t="str">
        <x:v>Точная цена в редакторе</x:v>
      </x:c>
      <x:c r="L38" s="5" t="str">
        <x:v>изображение</x:v>
      </x:c>
      <x:c r="M38" s="7" t="n">
        <x:f>IF(J38="","",ROUND(J38*Tariffs!$D$5,2))</x:f>
        <x:v>14.64</x:v>
      </x:c>
      <x:c r="N38" s="7" t="n">
        <x:f>IF(J38="","",ROUND(J38*Tariffs!$D$6,2))</x:f>
        <x:v>14.65</x:v>
      </x:c>
      <x:c r="O38" s="7" t="n">
        <x:f>IF(J38="","",ROUND(J38*Tariffs!$D$7,2))</x:f>
        <x:v>14.66</x:v>
      </x:c>
      <x:c r="P38" s="5" t="str">
        <x:v>https://neuromia.ru/app/images/gpt-image</x:v>
      </x:c>
      <x:c r="Q38" s="8" t="n">
        <x:v>46282.375</x:v>
      </x:c>
      <x:c r="R38" s="5" t="str"/>
    </x:row>
    <x:row r="39" ht="22" customHeight="1">
      <x:c r="A39" s="5" t="str">
        <x:v>Изображение</x:v>
      </x:c>
      <x:c r="B39" s="5" t="str">
        <x:v>Nano Banana Pro</x:v>
      </x:c>
      <x:c r="C39" s="5" t="str">
        <x:v>Текст → изображение</x:v>
      </x:c>
      <x:c r="D39" s="5" t="str">
        <x:v>1K</x:v>
      </x:c>
      <x:c r="E39" s="5" t="str">
        <x:v>1:1</x:v>
      </x:c>
      <x:c r="F39" s="5" t="str"/>
      <x:c r="G39" s="5" t="str"/>
      <x:c r="H39" s="5" t="str">
        <x:v>Без исходного файла</x:v>
      </x:c>
      <x:c r="I39" s="6" t="n">
        <x:v>19.8</x:v>
      </x:c>
      <x:c r="J39" s="6" t="n">
        <x:v>19.8</x:v>
      </x:c>
      <x:c r="K39" s="5" t="str">
        <x:v>Точная цена в редакторе</x:v>
      </x:c>
      <x:c r="L39" s="5" t="str">
        <x:v>изображение</x:v>
      </x:c>
      <x:c r="M39" s="7" t="n">
        <x:f>IF(J39="","",ROUND(J39*Tariffs!$D$5,2))</x:f>
        <x:v>16.47</x:v>
      </x:c>
      <x:c r="N39" s="7" t="n">
        <x:f>IF(J39="","",ROUND(J39*Tariffs!$D$6,2))</x:f>
        <x:v>16.48</x:v>
      </x:c>
      <x:c r="O39" s="7" t="n">
        <x:f>IF(J39="","",ROUND(J39*Tariffs!$D$7,2))</x:f>
        <x:v>16.5</x:v>
      </x:c>
      <x:c r="P39" s="5" t="str">
        <x:v>https://neuromia.ru/app/images/nano-banana</x:v>
      </x:c>
      <x:c r="Q39" s="8" t="n">
        <x:v>46282.375</x:v>
      </x:c>
      <x:c r="R39" s="5" t="str">
        <x:v>Цена показана до генерации при пустом промпте.</x:v>
      </x:c>
    </x:row>
    <x:row r="40" ht="22" customHeight="1">
      <x:c r="A40" s="5" t="str">
        <x:v>Изображение</x:v>
      </x:c>
      <x:c r="B40" s="5" t="str">
        <x:v>Nano Banana Pro</x:v>
      </x:c>
      <x:c r="C40" s="5" t="str">
        <x:v>Текст → изображение</x:v>
      </x:c>
      <x:c r="D40" s="5" t="str">
        <x:v>2K</x:v>
      </x:c>
      <x:c r="E40" s="5" t="str">
        <x:v>1:1</x:v>
      </x:c>
      <x:c r="F40" s="5" t="str"/>
      <x:c r="G40" s="5" t="str"/>
      <x:c r="H40" s="5" t="str">
        <x:v>Без исходного файла</x:v>
      </x:c>
      <x:c r="I40" s="6" t="n">
        <x:v>19.8</x:v>
      </x:c>
      <x:c r="J40" s="6" t="n">
        <x:v>19.8</x:v>
      </x:c>
      <x:c r="K40" s="5" t="str">
        <x:v>Точная цена в редакторе</x:v>
      </x:c>
      <x:c r="L40" s="5" t="str">
        <x:v>изображение</x:v>
      </x:c>
      <x:c r="M40" s="7" t="n">
        <x:f>IF(J40="","",ROUND(J40*Tariffs!$D$5,2))</x:f>
        <x:v>16.47</x:v>
      </x:c>
      <x:c r="N40" s="7" t="n">
        <x:f>IF(J40="","",ROUND(J40*Tariffs!$D$6,2))</x:f>
        <x:v>16.48</x:v>
      </x:c>
      <x:c r="O40" s="7" t="n">
        <x:f>IF(J40="","",ROUND(J40*Tariffs!$D$7,2))</x:f>
        <x:v>16.5</x:v>
      </x:c>
      <x:c r="P40" s="5" t="str">
        <x:v>https://neuromia.ru/app/images/nano-banana</x:v>
      </x:c>
      <x:c r="Q40" s="8" t="n">
        <x:v>46282.375</x:v>
      </x:c>
      <x:c r="R40" s="5" t="str">
        <x:v>Цена показана до генерации при пустом промпте.</x:v>
      </x:c>
    </x:row>
    <x:row r="41" ht="22" customHeight="1">
      <x:c r="A41" s="5" t="str">
        <x:v>Изображение</x:v>
      </x:c>
      <x:c r="B41" s="5" t="str">
        <x:v>Nano Banana Pro</x:v>
      </x:c>
      <x:c r="C41" s="5" t="str">
        <x:v>Текст → изображение</x:v>
      </x:c>
      <x:c r="D41" s="5" t="str">
        <x:v>4K</x:v>
      </x:c>
      <x:c r="E41" s="5" t="str">
        <x:v>1:1</x:v>
      </x:c>
      <x:c r="F41" s="5" t="str"/>
      <x:c r="G41" s="5" t="str"/>
      <x:c r="H41" s="5" t="str">
        <x:v>Без исходного файла</x:v>
      </x:c>
      <x:c r="I41" s="6" t="n">
        <x:v>26.4</x:v>
      </x:c>
      <x:c r="J41" s="6" t="n">
        <x:v>26.4</x:v>
      </x:c>
      <x:c r="K41" s="5" t="str">
        <x:v>Точная цена в редакторе</x:v>
      </x:c>
      <x:c r="L41" s="5" t="str">
        <x:v>изображение</x:v>
      </x:c>
      <x:c r="M41" s="7" t="n">
        <x:f>IF(J41="","",ROUND(J41*Tariffs!$D$5,2))</x:f>
        <x:v>21.96</x:v>
      </x:c>
      <x:c r="N41" s="7" t="n">
        <x:f>IF(J41="","",ROUND(J41*Tariffs!$D$6,2))</x:f>
        <x:v>21.98</x:v>
      </x:c>
      <x:c r="O41" s="7" t="n">
        <x:f>IF(J41="","",ROUND(J41*Tariffs!$D$7,2))</x:f>
        <x:v>22</x:v>
      </x:c>
      <x:c r="P41" s="5" t="str">
        <x:v>https://neuromia.ru/app/images/nano-banana</x:v>
      </x:c>
      <x:c r="Q41" s="8" t="n">
        <x:v>46282.375</x:v>
      </x:c>
      <x:c r="R41" s="5" t="str">
        <x:v>Цена показана до генерации при пустом промпте.</x:v>
      </x:c>
    </x:row>
    <x:row r="42" ht="22" customHeight="1">
      <x:c r="A42" s="5" t="str">
        <x:v>Изображение</x:v>
      </x:c>
      <x:c r="B42" s="5" t="str">
        <x:v>Nano Banana 2</x:v>
      </x:c>
      <x:c r="C42" s="5" t="str">
        <x:v>Текст → изображение</x:v>
      </x:c>
      <x:c r="D42" s="5" t="str">
        <x:v>1K</x:v>
      </x:c>
      <x:c r="E42" s="5" t="str">
        <x:v>1:1</x:v>
      </x:c>
      <x:c r="F42" s="5" t="str"/>
      <x:c r="G42" s="5" t="str"/>
      <x:c r="H42" s="5" t="str">
        <x:v>Без исходного файла</x:v>
      </x:c>
      <x:c r="I42" s="6" t="n">
        <x:v>8.8</x:v>
      </x:c>
      <x:c r="J42" s="6" t="n">
        <x:v>8.8</x:v>
      </x:c>
      <x:c r="K42" s="5" t="str">
        <x:v>Точная цена в редакторе</x:v>
      </x:c>
      <x:c r="L42" s="5" t="str">
        <x:v>изображение</x:v>
      </x:c>
      <x:c r="M42" s="7" t="n">
        <x:f>IF(J42="","",ROUND(J42*Tariffs!$D$5,2))</x:f>
        <x:v>7.32</x:v>
      </x:c>
      <x:c r="N42" s="7" t="n">
        <x:f>IF(J42="","",ROUND(J42*Tariffs!$D$6,2))</x:f>
        <x:v>7.33</x:v>
      </x:c>
      <x:c r="O42" s="7" t="n">
        <x:f>IF(J42="","",ROUND(J42*Tariffs!$D$7,2))</x:f>
        <x:v>7.33</x:v>
      </x:c>
      <x:c r="P42" s="5" t="str">
        <x:v>https://neuromia.ru/app/images/nano-banana</x:v>
      </x:c>
      <x:c r="Q42" s="8" t="n">
        <x:v>46282.375</x:v>
      </x:c>
      <x:c r="R42" s="5" t="str">
        <x:v>Цена показана до генерации при пустом промпте.</x:v>
      </x:c>
    </x:row>
    <x:row r="43" ht="22" customHeight="1">
      <x:c r="A43" s="5" t="str">
        <x:v>Изображение</x:v>
      </x:c>
      <x:c r="B43" s="5" t="str">
        <x:v>Nano Banana 2</x:v>
      </x:c>
      <x:c r="C43" s="5" t="str">
        <x:v>Текст → изображение</x:v>
      </x:c>
      <x:c r="D43" s="5" t="str">
        <x:v>2K</x:v>
      </x:c>
      <x:c r="E43" s="5" t="str">
        <x:v>1:1</x:v>
      </x:c>
      <x:c r="F43" s="5" t="str"/>
      <x:c r="G43" s="5" t="str"/>
      <x:c r="H43" s="5" t="str">
        <x:v>Без исходного файла</x:v>
      </x:c>
      <x:c r="I43" s="6" t="n">
        <x:v>13.2</x:v>
      </x:c>
      <x:c r="J43" s="6" t="n">
        <x:v>13.2</x:v>
      </x:c>
      <x:c r="K43" s="5" t="str">
        <x:v>Точная цена в редакторе</x:v>
      </x:c>
      <x:c r="L43" s="5" t="str">
        <x:v>изображение</x:v>
      </x:c>
      <x:c r="M43" s="7" t="n">
        <x:f>IF(J43="","",ROUND(J43*Tariffs!$D$5,2))</x:f>
        <x:v>10.98</x:v>
      </x:c>
      <x:c r="N43" s="7" t="n">
        <x:f>IF(J43="","",ROUND(J43*Tariffs!$D$6,2))</x:f>
        <x:v>10.99</x:v>
      </x:c>
      <x:c r="O43" s="7" t="n">
        <x:f>IF(J43="","",ROUND(J43*Tariffs!$D$7,2))</x:f>
        <x:v>11</x:v>
      </x:c>
      <x:c r="P43" s="5" t="str">
        <x:v>https://neuromia.ru/app/images/nano-banana</x:v>
      </x:c>
      <x:c r="Q43" s="8" t="n">
        <x:v>46282.375</x:v>
      </x:c>
      <x:c r="R43" s="5" t="str">
        <x:v>Цена показана до генерации при пустом промпте.</x:v>
      </x:c>
    </x:row>
    <x:row r="44" ht="22" customHeight="1">
      <x:c r="A44" s="5" t="str">
        <x:v>Изображение</x:v>
      </x:c>
      <x:c r="B44" s="5" t="str">
        <x:v>Nano Banana 2</x:v>
      </x:c>
      <x:c r="C44" s="5" t="str">
        <x:v>Текст → изображение</x:v>
      </x:c>
      <x:c r="D44" s="5" t="str">
        <x:v>4K</x:v>
      </x:c>
      <x:c r="E44" s="5" t="str">
        <x:v>1:1</x:v>
      </x:c>
      <x:c r="F44" s="5" t="str"/>
      <x:c r="G44" s="5" t="str"/>
      <x:c r="H44" s="5" t="str">
        <x:v>Без исходного файла</x:v>
      </x:c>
      <x:c r="I44" s="6" t="n">
        <x:v>19.8</x:v>
      </x:c>
      <x:c r="J44" s="6" t="n">
        <x:v>19.8</x:v>
      </x:c>
      <x:c r="K44" s="5" t="str">
        <x:v>Точная цена в редакторе</x:v>
      </x:c>
      <x:c r="L44" s="5" t="str">
        <x:v>изображение</x:v>
      </x:c>
      <x:c r="M44" s="7" t="n">
        <x:f>IF(J44="","",ROUND(J44*Tariffs!$D$5,2))</x:f>
        <x:v>16.47</x:v>
      </x:c>
      <x:c r="N44" s="7" t="n">
        <x:f>IF(J44="","",ROUND(J44*Tariffs!$D$6,2))</x:f>
        <x:v>16.48</x:v>
      </x:c>
      <x:c r="O44" s="7" t="n">
        <x:f>IF(J44="","",ROUND(J44*Tariffs!$D$7,2))</x:f>
        <x:v>16.5</x:v>
      </x:c>
      <x:c r="P44" s="5" t="str">
        <x:v>https://neuromia.ru/app/images/nano-banana</x:v>
      </x:c>
      <x:c r="Q44" s="8" t="n">
        <x:v>46282.375</x:v>
      </x:c>
      <x:c r="R44" s="5" t="str">
        <x:v>Цена показана до генерации при пустом промпте.</x:v>
      </x:c>
    </x:row>
    <x:row r="45" ht="22" customHeight="1">
      <x:c r="A45" s="5" t="str">
        <x:v>Изображение</x:v>
      </x:c>
      <x:c r="B45" s="5" t="str">
        <x:v>Nano Banana 2 Lite</x:v>
      </x:c>
      <x:c r="C45" s="5" t="str">
        <x:v>Текст → изображение</x:v>
      </x:c>
      <x:c r="D45" s="5" t="str">
        <x:v>—</x:v>
      </x:c>
      <x:c r="E45" s="5" t="str">
        <x:v>1:1</x:v>
      </x:c>
      <x:c r="F45" s="5" t="str"/>
      <x:c r="G45" s="5" t="str"/>
      <x:c r="H45" s="5" t="str">
        <x:v>Без исходного файла</x:v>
      </x:c>
      <x:c r="I45" s="6" t="n">
        <x:v>4.4</x:v>
      </x:c>
      <x:c r="J45" s="6" t="n">
        <x:v>4.4</x:v>
      </x:c>
      <x:c r="K45" s="5" t="str">
        <x:v>Точная цена в редакторе</x:v>
      </x:c>
      <x:c r="L45" s="5" t="str">
        <x:v>изображение</x:v>
      </x:c>
      <x:c r="M45" s="7" t="n">
        <x:f>IF(J45="","",ROUND(J45*Tariffs!$D$5,2))</x:f>
        <x:v>3.66</x:v>
      </x:c>
      <x:c r="N45" s="7" t="n">
        <x:f>IF(J45="","",ROUND(J45*Tariffs!$D$6,2))</x:f>
        <x:v>3.66</x:v>
      </x:c>
      <x:c r="O45" s="7" t="n">
        <x:f>IF(J45="","",ROUND(J45*Tariffs!$D$7,2))</x:f>
        <x:v>3.67</x:v>
      </x:c>
      <x:c r="P45" s="5" t="str">
        <x:v>https://neuromia.ru/app/images/nano-banana</x:v>
      </x:c>
      <x:c r="Q45" s="8" t="n">
        <x:v>46282.375</x:v>
      </x:c>
      <x:c r="R45" s="5" t="str">
        <x:v>Цена показана до генерации при пустом промпте.</x:v>
      </x:c>
    </x:row>
    <x:row r="46" ht="22" customHeight="1">
      <x:c r="A46" s="5" t="str">
        <x:v>Изображение</x:v>
      </x:c>
      <x:c r="B46" s="5" t="str">
        <x:v>Nano Banana 2 Lite</x:v>
      </x:c>
      <x:c r="C46" s="5" t="str">
        <x:v>Текст → изображение</x:v>
      </x:c>
      <x:c r="D46" s="5" t="str">
        <x:v>—</x:v>
      </x:c>
      <x:c r="E46" s="5" t="str">
        <x:v>16:9</x:v>
      </x:c>
      <x:c r="F46" s="5" t="str"/>
      <x:c r="G46" s="5" t="str"/>
      <x:c r="H46" s="5" t="str">
        <x:v>Без исходного файла</x:v>
      </x:c>
      <x:c r="I46" s="6" t="n">
        <x:v>4.4</x:v>
      </x:c>
      <x:c r="J46" s="6" t="n">
        <x:v>4.4</x:v>
      </x:c>
      <x:c r="K46" s="5" t="str">
        <x:v>Точная цена в редакторе</x:v>
      </x:c>
      <x:c r="L46" s="5" t="str">
        <x:v>изображение</x:v>
      </x:c>
      <x:c r="M46" s="7" t="n">
        <x:f>IF(J46="","",ROUND(J46*Tariffs!$D$5,2))</x:f>
        <x:v>3.66</x:v>
      </x:c>
      <x:c r="N46" s="7" t="n">
        <x:f>IF(J46="","",ROUND(J46*Tariffs!$D$6,2))</x:f>
        <x:v>3.66</x:v>
      </x:c>
      <x:c r="O46" s="7" t="n">
        <x:f>IF(J46="","",ROUND(J46*Tariffs!$D$7,2))</x:f>
        <x:v>3.67</x:v>
      </x:c>
      <x:c r="P46" s="5" t="str">
        <x:v>https://neuromia.ru/app/images/nano-banana</x:v>
      </x:c>
      <x:c r="Q46" s="8" t="n">
        <x:v>46282.375</x:v>
      </x:c>
      <x:c r="R46" s="5" t="str">
        <x:v>Цена показана до генерации при пустом промпте.</x:v>
      </x:c>
    </x:row>
    <x:row r="47" ht="22" customHeight="1">
      <x:c r="A47" s="5" t="str">
        <x:v>Изображение</x:v>
      </x:c>
      <x:c r="B47" s="5" t="str">
        <x:v>Nano Banana 2 Lite</x:v>
      </x:c>
      <x:c r="C47" s="5" t="str">
        <x:v>Текст → изображение</x:v>
      </x:c>
      <x:c r="D47" s="5" t="str">
        <x:v>—</x:v>
      </x:c>
      <x:c r="E47" s="5" t="str">
        <x:v>9:16</x:v>
      </x:c>
      <x:c r="F47" s="5" t="str"/>
      <x:c r="G47" s="5" t="str"/>
      <x:c r="H47" s="5" t="str">
        <x:v>Без исходного файла</x:v>
      </x:c>
      <x:c r="I47" s="6" t="n">
        <x:v>4.4</x:v>
      </x:c>
      <x:c r="J47" s="6" t="n">
        <x:v>4.4</x:v>
      </x:c>
      <x:c r="K47" s="5" t="str">
        <x:v>Точная цена в редакторе</x:v>
      </x:c>
      <x:c r="L47" s="5" t="str">
        <x:v>изображение</x:v>
      </x:c>
      <x:c r="M47" s="7" t="n">
        <x:f>IF(J47="","",ROUND(J47*Tariffs!$D$5,2))</x:f>
        <x:v>3.66</x:v>
      </x:c>
      <x:c r="N47" s="7" t="n">
        <x:f>IF(J47="","",ROUND(J47*Tariffs!$D$6,2))</x:f>
        <x:v>3.66</x:v>
      </x:c>
      <x:c r="O47" s="7" t="n">
        <x:f>IF(J47="","",ROUND(J47*Tariffs!$D$7,2))</x:f>
        <x:v>3.67</x:v>
      </x:c>
      <x:c r="P47" s="5" t="str">
        <x:v>https://neuromia.ru/app/images/nano-banana</x:v>
      </x:c>
      <x:c r="Q47" s="8" t="n">
        <x:v>46282.375</x:v>
      </x:c>
      <x:c r="R47" s="5" t="str">
        <x:v>Цена показана до генерации при пустом промпте.</x:v>
      </x:c>
    </x:row>
    <x:row r="48" ht="22" customHeight="1">
      <x:c r="A48" s="5" t="str">
        <x:v>Изображение</x:v>
      </x:c>
      <x:c r="B48" s="5" t="str">
        <x:v>Nano Banana 2 Lite</x:v>
      </x:c>
      <x:c r="C48" s="5" t="str">
        <x:v>Текст → изображение</x:v>
      </x:c>
      <x:c r="D48" s="5" t="str">
        <x:v>—</x:v>
      </x:c>
      <x:c r="E48" s="5" t="str">
        <x:v>4:3</x:v>
      </x:c>
      <x:c r="F48" s="5" t="str"/>
      <x:c r="G48" s="5" t="str"/>
      <x:c r="H48" s="5" t="str">
        <x:v>Без исходного файла</x:v>
      </x:c>
      <x:c r="I48" s="6" t="n">
        <x:v>4.4</x:v>
      </x:c>
      <x:c r="J48" s="6" t="n">
        <x:v>4.4</x:v>
      </x:c>
      <x:c r="K48" s="5" t="str">
        <x:v>Точная цена в редакторе</x:v>
      </x:c>
      <x:c r="L48" s="5" t="str">
        <x:v>изображение</x:v>
      </x:c>
      <x:c r="M48" s="7" t="n">
        <x:f>IF(J48="","",ROUND(J48*Tariffs!$D$5,2))</x:f>
        <x:v>3.66</x:v>
      </x:c>
      <x:c r="N48" s="7" t="n">
        <x:f>IF(J48="","",ROUND(J48*Tariffs!$D$6,2))</x:f>
        <x:v>3.66</x:v>
      </x:c>
      <x:c r="O48" s="7" t="n">
        <x:f>IF(J48="","",ROUND(J48*Tariffs!$D$7,2))</x:f>
        <x:v>3.67</x:v>
      </x:c>
      <x:c r="P48" s="5" t="str">
        <x:v>https://neuromia.ru/app/images/nano-banana</x:v>
      </x:c>
      <x:c r="Q48" s="8" t="n">
        <x:v>46282.375</x:v>
      </x:c>
      <x:c r="R48" s="5" t="str">
        <x:v>Цена показана до генерации при пустом промпте.</x:v>
      </x:c>
    </x:row>
    <x:row r="49" ht="22" customHeight="1">
      <x:c r="A49" s="5" t="str">
        <x:v>Изображение</x:v>
      </x:c>
      <x:c r="B49" s="5" t="str">
        <x:v>Nano Banana 2 Lite</x:v>
      </x:c>
      <x:c r="C49" s="5" t="str">
        <x:v>Текст → изображение</x:v>
      </x:c>
      <x:c r="D49" s="5" t="str">
        <x:v>—</x:v>
      </x:c>
      <x:c r="E49" s="5" t="str">
        <x:v>3:4</x:v>
      </x:c>
      <x:c r="F49" s="5" t="str"/>
      <x:c r="G49" s="5" t="str"/>
      <x:c r="H49" s="5" t="str">
        <x:v>Без исходного файла</x:v>
      </x:c>
      <x:c r="I49" s="6" t="n">
        <x:v>4.4</x:v>
      </x:c>
      <x:c r="J49" s="6" t="n">
        <x:v>4.4</x:v>
      </x:c>
      <x:c r="K49" s="5" t="str">
        <x:v>Точная цена в редакторе</x:v>
      </x:c>
      <x:c r="L49" s="5" t="str">
        <x:v>изображение</x:v>
      </x:c>
      <x:c r="M49" s="7" t="n">
        <x:f>IF(J49="","",ROUND(J49*Tariffs!$D$5,2))</x:f>
        <x:v>3.66</x:v>
      </x:c>
      <x:c r="N49" s="7" t="n">
        <x:f>IF(J49="","",ROUND(J49*Tariffs!$D$6,2))</x:f>
        <x:v>3.66</x:v>
      </x:c>
      <x:c r="O49" s="7" t="n">
        <x:f>IF(J49="","",ROUND(J49*Tariffs!$D$7,2))</x:f>
        <x:v>3.67</x:v>
      </x:c>
      <x:c r="P49" s="5" t="str">
        <x:v>https://neuromia.ru/app/images/nano-banana</x:v>
      </x:c>
      <x:c r="Q49" s="8" t="n">
        <x:v>46282.375</x:v>
      </x:c>
      <x:c r="R49" s="5" t="str">
        <x:v>Цена показана до генерации при пустом промпте.</x:v>
      </x:c>
    </x:row>
    <x:row r="50" ht="22" customHeight="1">
      <x:c r="A50" s="5" t="str">
        <x:v>Изображение</x:v>
      </x:c>
      <x:c r="B50" s="5" t="str">
        <x:v>Nano Banana 2 Lite</x:v>
      </x:c>
      <x:c r="C50" s="5" t="str">
        <x:v>Текст → изображение</x:v>
      </x:c>
      <x:c r="D50" s="5" t="str">
        <x:v>—</x:v>
      </x:c>
      <x:c r="E50" s="5" t="str">
        <x:v>3:2</x:v>
      </x:c>
      <x:c r="F50" s="5" t="str"/>
      <x:c r="G50" s="5" t="str"/>
      <x:c r="H50" s="5" t="str">
        <x:v>Без исходного файла</x:v>
      </x:c>
      <x:c r="I50" s="6" t="n">
        <x:v>4.4</x:v>
      </x:c>
      <x:c r="J50" s="6" t="n">
        <x:v>4.4</x:v>
      </x:c>
      <x:c r="K50" s="5" t="str">
        <x:v>Точная цена в редакторе</x:v>
      </x:c>
      <x:c r="L50" s="5" t="str">
        <x:v>изображение</x:v>
      </x:c>
      <x:c r="M50" s="7" t="n">
        <x:f>IF(J50="","",ROUND(J50*Tariffs!$D$5,2))</x:f>
        <x:v>3.66</x:v>
      </x:c>
      <x:c r="N50" s="7" t="n">
        <x:f>IF(J50="","",ROUND(J50*Tariffs!$D$6,2))</x:f>
        <x:v>3.66</x:v>
      </x:c>
      <x:c r="O50" s="7" t="n">
        <x:f>IF(J50="","",ROUND(J50*Tariffs!$D$7,2))</x:f>
        <x:v>3.67</x:v>
      </x:c>
      <x:c r="P50" s="5" t="str">
        <x:v>https://neuromia.ru/app/images/nano-banana</x:v>
      </x:c>
      <x:c r="Q50" s="8" t="n">
        <x:v>46282.375</x:v>
      </x:c>
      <x:c r="R50" s="5" t="str">
        <x:v>Цена показана до генерации при пустом промпте.</x:v>
      </x:c>
    </x:row>
    <x:row r="51" ht="22" customHeight="1">
      <x:c r="A51" s="5" t="str">
        <x:v>Изображение</x:v>
      </x:c>
      <x:c r="B51" s="5" t="str">
        <x:v>Nano Banana 2 Lite</x:v>
      </x:c>
      <x:c r="C51" s="5" t="str">
        <x:v>Текст → изображение</x:v>
      </x:c>
      <x:c r="D51" s="5" t="str">
        <x:v>—</x:v>
      </x:c>
      <x:c r="E51" s="5" t="str">
        <x:v>2:3</x:v>
      </x:c>
      <x:c r="F51" s="5" t="str"/>
      <x:c r="G51" s="5" t="str"/>
      <x:c r="H51" s="5" t="str">
        <x:v>Без исходного файла</x:v>
      </x:c>
      <x:c r="I51" s="6" t="n">
        <x:v>4.4</x:v>
      </x:c>
      <x:c r="J51" s="6" t="n">
        <x:v>4.4</x:v>
      </x:c>
      <x:c r="K51" s="5" t="str">
        <x:v>Точная цена в редакторе</x:v>
      </x:c>
      <x:c r="L51" s="5" t="str">
        <x:v>изображение</x:v>
      </x:c>
      <x:c r="M51" s="7" t="n">
        <x:f>IF(J51="","",ROUND(J51*Tariffs!$D$5,2))</x:f>
        <x:v>3.66</x:v>
      </x:c>
      <x:c r="N51" s="7" t="n">
        <x:f>IF(J51="","",ROUND(J51*Tariffs!$D$6,2))</x:f>
        <x:v>3.66</x:v>
      </x:c>
      <x:c r="O51" s="7" t="n">
        <x:f>IF(J51="","",ROUND(J51*Tariffs!$D$7,2))</x:f>
        <x:v>3.67</x:v>
      </x:c>
      <x:c r="P51" s="5" t="str">
        <x:v>https://neuromia.ru/app/images/nano-banana</x:v>
      </x:c>
      <x:c r="Q51" s="8" t="n">
        <x:v>46282.375</x:v>
      </x:c>
      <x:c r="R51" s="5" t="str">
        <x:v>Цена показана до генерации при пустом промпте.</x:v>
      </x:c>
    </x:row>
    <x:row r="52" ht="22" customHeight="1">
      <x:c r="A52" s="5" t="str">
        <x:v>Изображение</x:v>
      </x:c>
      <x:c r="B52" s="5" t="str">
        <x:v>Nano Banana 2 Lite</x:v>
      </x:c>
      <x:c r="C52" s="5" t="str">
        <x:v>Текст → изображение</x:v>
      </x:c>
      <x:c r="D52" s="5" t="str">
        <x:v>—</x:v>
      </x:c>
      <x:c r="E52" s="5" t="str">
        <x:v>5:4</x:v>
      </x:c>
      <x:c r="F52" s="5" t="str"/>
      <x:c r="G52" s="5" t="str"/>
      <x:c r="H52" s="5" t="str">
        <x:v>Без исходного файла</x:v>
      </x:c>
      <x:c r="I52" s="6" t="n">
        <x:v>4.4</x:v>
      </x:c>
      <x:c r="J52" s="6" t="n">
        <x:v>4.4</x:v>
      </x:c>
      <x:c r="K52" s="5" t="str">
        <x:v>Точная цена в редакторе</x:v>
      </x:c>
      <x:c r="L52" s="5" t="str">
        <x:v>изображение</x:v>
      </x:c>
      <x:c r="M52" s="7" t="n">
        <x:f>IF(J52="","",ROUND(J52*Tariffs!$D$5,2))</x:f>
        <x:v>3.66</x:v>
      </x:c>
      <x:c r="N52" s="7" t="n">
        <x:f>IF(J52="","",ROUND(J52*Tariffs!$D$6,2))</x:f>
        <x:v>3.66</x:v>
      </x:c>
      <x:c r="O52" s="7" t="n">
        <x:f>IF(J52="","",ROUND(J52*Tariffs!$D$7,2))</x:f>
        <x:v>3.67</x:v>
      </x:c>
      <x:c r="P52" s="5" t="str">
        <x:v>https://neuromia.ru/app/images/nano-banana</x:v>
      </x:c>
      <x:c r="Q52" s="8" t="n">
        <x:v>46282.375</x:v>
      </x:c>
      <x:c r="R52" s="5" t="str">
        <x:v>Цена показана до генерации при пустом промпте.</x:v>
      </x:c>
    </x:row>
    <x:row r="53" ht="22" customHeight="1">
      <x:c r="A53" s="5" t="str">
        <x:v>Изображение</x:v>
      </x:c>
      <x:c r="B53" s="5" t="str">
        <x:v>Nano Banana 2 Lite</x:v>
      </x:c>
      <x:c r="C53" s="5" t="str">
        <x:v>Текст → изображение</x:v>
      </x:c>
      <x:c r="D53" s="5" t="str">
        <x:v>—</x:v>
      </x:c>
      <x:c r="E53" s="5" t="str">
        <x:v>4:5</x:v>
      </x:c>
      <x:c r="F53" s="5" t="str"/>
      <x:c r="G53" s="5" t="str"/>
      <x:c r="H53" s="5" t="str">
        <x:v>Без исходного файла</x:v>
      </x:c>
      <x:c r="I53" s="6" t="n">
        <x:v>4.4</x:v>
      </x:c>
      <x:c r="J53" s="6" t="n">
        <x:v>4.4</x:v>
      </x:c>
      <x:c r="K53" s="5" t="str">
        <x:v>Точная цена в редакторе</x:v>
      </x:c>
      <x:c r="L53" s="5" t="str">
        <x:v>изображение</x:v>
      </x:c>
      <x:c r="M53" s="7" t="n">
        <x:f>IF(J53="","",ROUND(J53*Tariffs!$D$5,2))</x:f>
        <x:v>3.66</x:v>
      </x:c>
      <x:c r="N53" s="7" t="n">
        <x:f>IF(J53="","",ROUND(J53*Tariffs!$D$6,2))</x:f>
        <x:v>3.66</x:v>
      </x:c>
      <x:c r="O53" s="7" t="n">
        <x:f>IF(J53="","",ROUND(J53*Tariffs!$D$7,2))</x:f>
        <x:v>3.67</x:v>
      </x:c>
      <x:c r="P53" s="5" t="str">
        <x:v>https://neuromia.ru/app/images/nano-banana</x:v>
      </x:c>
      <x:c r="Q53" s="8" t="n">
        <x:v>46282.375</x:v>
      </x:c>
      <x:c r="R53" s="5" t="str">
        <x:v>Цена показана до генерации при пустом промпте.</x:v>
      </x:c>
    </x:row>
    <x:row r="54" ht="22" customHeight="1">
      <x:c r="A54" s="5" t="str">
        <x:v>Изображение</x:v>
      </x:c>
      <x:c r="B54" s="5" t="str">
        <x:v>Nano Banana 2 Lite</x:v>
      </x:c>
      <x:c r="C54" s="5" t="str">
        <x:v>Текст → изображение</x:v>
      </x:c>
      <x:c r="D54" s="5" t="str">
        <x:v>—</x:v>
      </x:c>
      <x:c r="E54" s="5" t="str">
        <x:v>21:9</x:v>
      </x:c>
      <x:c r="F54" s="5" t="str"/>
      <x:c r="G54" s="5" t="str"/>
      <x:c r="H54" s="5" t="str">
        <x:v>Без исходного файла</x:v>
      </x:c>
      <x:c r="I54" s="6" t="n">
        <x:v>4.4</x:v>
      </x:c>
      <x:c r="J54" s="6" t="n">
        <x:v>4.4</x:v>
      </x:c>
      <x:c r="K54" s="5" t="str">
        <x:v>Точная цена в редакторе</x:v>
      </x:c>
      <x:c r="L54" s="5" t="str">
        <x:v>изображение</x:v>
      </x:c>
      <x:c r="M54" s="7" t="n">
        <x:f>IF(J54="","",ROUND(J54*Tariffs!$D$5,2))</x:f>
        <x:v>3.66</x:v>
      </x:c>
      <x:c r="N54" s="7" t="n">
        <x:f>IF(J54="","",ROUND(J54*Tariffs!$D$6,2))</x:f>
        <x:v>3.66</x:v>
      </x:c>
      <x:c r="O54" s="7" t="n">
        <x:f>IF(J54="","",ROUND(J54*Tariffs!$D$7,2))</x:f>
        <x:v>3.67</x:v>
      </x:c>
      <x:c r="P54" s="5" t="str">
        <x:v>https://neuromia.ru/app/images/nano-banana</x:v>
      </x:c>
      <x:c r="Q54" s="8" t="n">
        <x:v>46282.375</x:v>
      </x:c>
      <x:c r="R54" s="5" t="str">
        <x:v>Цена показана до генерации при пустом промпте.</x:v>
      </x:c>
    </x:row>
    <x:row r="55" ht="22" customHeight="1">
      <x:c r="A55" s="5" t="str">
        <x:v>Изображение</x:v>
      </x:c>
      <x:c r="B55" s="5" t="str">
        <x:v>Nano Banana 2 Lite</x:v>
      </x:c>
      <x:c r="C55" s="5" t="str">
        <x:v>Текст → изображение</x:v>
      </x:c>
      <x:c r="D55" s="5" t="str">
        <x:v>—</x:v>
      </x:c>
      <x:c r="E55" s="5" t="str">
        <x:v>1:4</x:v>
      </x:c>
      <x:c r="F55" s="5" t="str"/>
      <x:c r="G55" s="5" t="str"/>
      <x:c r="H55" s="5" t="str">
        <x:v>Без исходного файла</x:v>
      </x:c>
      <x:c r="I55" s="6" t="n">
        <x:v>4.4</x:v>
      </x:c>
      <x:c r="J55" s="6" t="n">
        <x:v>4.4</x:v>
      </x:c>
      <x:c r="K55" s="5" t="str">
        <x:v>Точная цена в редакторе</x:v>
      </x:c>
      <x:c r="L55" s="5" t="str">
        <x:v>изображение</x:v>
      </x:c>
      <x:c r="M55" s="7" t="n">
        <x:f>IF(J55="","",ROUND(J55*Tariffs!$D$5,2))</x:f>
        <x:v>3.66</x:v>
      </x:c>
      <x:c r="N55" s="7" t="n">
        <x:f>IF(J55="","",ROUND(J55*Tariffs!$D$6,2))</x:f>
        <x:v>3.66</x:v>
      </x:c>
      <x:c r="O55" s="7" t="n">
        <x:f>IF(J55="","",ROUND(J55*Tariffs!$D$7,2))</x:f>
        <x:v>3.67</x:v>
      </x:c>
      <x:c r="P55" s="5" t="str">
        <x:v>https://neuromia.ru/app/images/nano-banana</x:v>
      </x:c>
      <x:c r="Q55" s="8" t="n">
        <x:v>46282.375</x:v>
      </x:c>
      <x:c r="R55" s="5" t="str">
        <x:v>Цена показана до генерации при пустом промпте.</x:v>
      </x:c>
    </x:row>
    <x:row r="56" ht="22" customHeight="1">
      <x:c r="A56" s="5" t="str">
        <x:v>Изображение</x:v>
      </x:c>
      <x:c r="B56" s="5" t="str">
        <x:v>Nano Banana 2 Lite</x:v>
      </x:c>
      <x:c r="C56" s="5" t="str">
        <x:v>Текст → изображение</x:v>
      </x:c>
      <x:c r="D56" s="5" t="str">
        <x:v>—</x:v>
      </x:c>
      <x:c r="E56" s="5" t="str">
        <x:v>4:1</x:v>
      </x:c>
      <x:c r="F56" s="5" t="str"/>
      <x:c r="G56" s="5" t="str"/>
      <x:c r="H56" s="5" t="str">
        <x:v>Без исходного файла</x:v>
      </x:c>
      <x:c r="I56" s="6" t="n">
        <x:v>4.4</x:v>
      </x:c>
      <x:c r="J56" s="6" t="n">
        <x:v>4.4</x:v>
      </x:c>
      <x:c r="K56" s="5" t="str">
        <x:v>Точная цена в редакторе</x:v>
      </x:c>
      <x:c r="L56" s="5" t="str">
        <x:v>изображение</x:v>
      </x:c>
      <x:c r="M56" s="7" t="n">
        <x:f>IF(J56="","",ROUND(J56*Tariffs!$D$5,2))</x:f>
        <x:v>3.66</x:v>
      </x:c>
      <x:c r="N56" s="7" t="n">
        <x:f>IF(J56="","",ROUND(J56*Tariffs!$D$6,2))</x:f>
        <x:v>3.66</x:v>
      </x:c>
      <x:c r="O56" s="7" t="n">
        <x:f>IF(J56="","",ROUND(J56*Tariffs!$D$7,2))</x:f>
        <x:v>3.67</x:v>
      </x:c>
      <x:c r="P56" s="5" t="str">
        <x:v>https://neuromia.ru/app/images/nano-banana</x:v>
      </x:c>
      <x:c r="Q56" s="8" t="n">
        <x:v>46282.375</x:v>
      </x:c>
      <x:c r="R56" s="5" t="str">
        <x:v>Цена показана до генерации при пустом промпте.</x:v>
      </x:c>
    </x:row>
    <x:row r="57" ht="22" customHeight="1">
      <x:c r="A57" s="5" t="str">
        <x:v>Изображение</x:v>
      </x:c>
      <x:c r="B57" s="5" t="str">
        <x:v>Nano Banana 2 Lite</x:v>
      </x:c>
      <x:c r="C57" s="5" t="str">
        <x:v>Текст → изображение</x:v>
      </x:c>
      <x:c r="D57" s="5" t="str">
        <x:v>—</x:v>
      </x:c>
      <x:c r="E57" s="5" t="str">
        <x:v>1:8</x:v>
      </x:c>
      <x:c r="F57" s="5" t="str"/>
      <x:c r="G57" s="5" t="str"/>
      <x:c r="H57" s="5" t="str">
        <x:v>Без исходного файла</x:v>
      </x:c>
      <x:c r="I57" s="6" t="n">
        <x:v>4.4</x:v>
      </x:c>
      <x:c r="J57" s="6" t="n">
        <x:v>4.4</x:v>
      </x:c>
      <x:c r="K57" s="5" t="str">
        <x:v>Точная цена в редакторе</x:v>
      </x:c>
      <x:c r="L57" s="5" t="str">
        <x:v>изображение</x:v>
      </x:c>
      <x:c r="M57" s="7" t="n">
        <x:f>IF(J57="","",ROUND(J57*Tariffs!$D$5,2))</x:f>
        <x:v>3.66</x:v>
      </x:c>
      <x:c r="N57" s="7" t="n">
        <x:f>IF(J57="","",ROUND(J57*Tariffs!$D$6,2))</x:f>
        <x:v>3.66</x:v>
      </x:c>
      <x:c r="O57" s="7" t="n">
        <x:f>IF(J57="","",ROUND(J57*Tariffs!$D$7,2))</x:f>
        <x:v>3.67</x:v>
      </x:c>
      <x:c r="P57" s="5" t="str">
        <x:v>https://neuromia.ru/app/images/nano-banana</x:v>
      </x:c>
      <x:c r="Q57" s="8" t="n">
        <x:v>46282.375</x:v>
      </x:c>
      <x:c r="R57" s="5" t="str">
        <x:v>Цена показана до генерации при пустом промпте.</x:v>
      </x:c>
    </x:row>
    <x:row r="58" ht="22" customHeight="1">
      <x:c r="A58" s="5" t="str">
        <x:v>Изображение</x:v>
      </x:c>
      <x:c r="B58" s="5" t="str">
        <x:v>Nano Banana 2 Lite</x:v>
      </x:c>
      <x:c r="C58" s="5" t="str">
        <x:v>Текст → изображение</x:v>
      </x:c>
      <x:c r="D58" s="5" t="str">
        <x:v>—</x:v>
      </x:c>
      <x:c r="E58" s="5" t="str">
        <x:v>8:1</x:v>
      </x:c>
      <x:c r="F58" s="5" t="str"/>
      <x:c r="G58" s="5" t="str"/>
      <x:c r="H58" s="5" t="str">
        <x:v>Без исходного файла</x:v>
      </x:c>
      <x:c r="I58" s="6" t="n">
        <x:v>4.4</x:v>
      </x:c>
      <x:c r="J58" s="6" t="n">
        <x:v>4.4</x:v>
      </x:c>
      <x:c r="K58" s="5" t="str">
        <x:v>Точная цена в редакторе</x:v>
      </x:c>
      <x:c r="L58" s="5" t="str">
        <x:v>изображение</x:v>
      </x:c>
      <x:c r="M58" s="7" t="n">
        <x:f>IF(J58="","",ROUND(J58*Tariffs!$D$5,2))</x:f>
        <x:v>3.66</x:v>
      </x:c>
      <x:c r="N58" s="7" t="n">
        <x:f>IF(J58="","",ROUND(J58*Tariffs!$D$6,2))</x:f>
        <x:v>3.66</x:v>
      </x:c>
      <x:c r="O58" s="7" t="n">
        <x:f>IF(J58="","",ROUND(J58*Tariffs!$D$7,2))</x:f>
        <x:v>3.67</x:v>
      </x:c>
      <x:c r="P58" s="5" t="str">
        <x:v>https://neuromia.ru/app/images/nano-banana</x:v>
      </x:c>
      <x:c r="Q58" s="8" t="n">
        <x:v>46282.375</x:v>
      </x:c>
      <x:c r="R58" s="5" t="str">
        <x:v>Цена показана до генерации при пустом промпте.</x:v>
      </x:c>
    </x:row>
    <x:row r="59" ht="22" customHeight="1">
      <x:c r="A59" s="5" t="str">
        <x:v>Изображение</x:v>
      </x:c>
      <x:c r="B59" s="5" t="str">
        <x:v>Nano Banana</x:v>
      </x:c>
      <x:c r="C59" s="5" t="str">
        <x:v>Текст → изображение</x:v>
      </x:c>
      <x:c r="D59" s="5" t="str">
        <x:v>—</x:v>
      </x:c>
      <x:c r="E59" s="5" t="str">
        <x:v>1:1</x:v>
      </x:c>
      <x:c r="F59" s="5" t="str"/>
      <x:c r="G59" s="5" t="str"/>
      <x:c r="H59" s="5" t="str">
        <x:v>Без исходного файла</x:v>
      </x:c>
      <x:c r="I59" s="6" t="n">
        <x:v>4.4</x:v>
      </x:c>
      <x:c r="J59" s="6" t="n">
        <x:v>4.4</x:v>
      </x:c>
      <x:c r="K59" s="5" t="str">
        <x:v>Точная цена в редакторе</x:v>
      </x:c>
      <x:c r="L59" s="5" t="str">
        <x:v>изображение</x:v>
      </x:c>
      <x:c r="M59" s="7" t="n">
        <x:f>IF(J59="","",ROUND(J59*Tariffs!$D$5,2))</x:f>
        <x:v>3.66</x:v>
      </x:c>
      <x:c r="N59" s="7" t="n">
        <x:f>IF(J59="","",ROUND(J59*Tariffs!$D$6,2))</x:f>
        <x:v>3.66</x:v>
      </x:c>
      <x:c r="O59" s="7" t="n">
        <x:f>IF(J59="","",ROUND(J59*Tariffs!$D$7,2))</x:f>
        <x:v>3.67</x:v>
      </x:c>
      <x:c r="P59" s="5" t="str">
        <x:v>https://neuromia.ru/app/images/nano-banana</x:v>
      </x:c>
      <x:c r="Q59" s="8" t="n">
        <x:v>46282.375</x:v>
      </x:c>
      <x:c r="R59" s="5" t="str">
        <x:v>Цена показана до генерации при пустом промпте.</x:v>
      </x:c>
    </x:row>
    <x:row r="60" ht="22" customHeight="1">
      <x:c r="A60" s="5" t="str">
        <x:v>Изображение</x:v>
      </x:c>
      <x:c r="B60" s="5" t="str">
        <x:v>Nano Banana</x:v>
      </x:c>
      <x:c r="C60" s="5" t="str">
        <x:v>Текст → изображение</x:v>
      </x:c>
      <x:c r="D60" s="5" t="str">
        <x:v>—</x:v>
      </x:c>
      <x:c r="E60" s="5" t="str">
        <x:v>16:9</x:v>
      </x:c>
      <x:c r="F60" s="5" t="str"/>
      <x:c r="G60" s="5" t="str"/>
      <x:c r="H60" s="5" t="str">
        <x:v>Без исходного файла</x:v>
      </x:c>
      <x:c r="I60" s="6" t="n">
        <x:v>4.4</x:v>
      </x:c>
      <x:c r="J60" s="6" t="n">
        <x:v>4.4</x:v>
      </x:c>
      <x:c r="K60" s="5" t="str">
        <x:v>Точная цена в редакторе</x:v>
      </x:c>
      <x:c r="L60" s="5" t="str">
        <x:v>изображение</x:v>
      </x:c>
      <x:c r="M60" s="7" t="n">
        <x:f>IF(J60="","",ROUND(J60*Tariffs!$D$5,2))</x:f>
        <x:v>3.66</x:v>
      </x:c>
      <x:c r="N60" s="7" t="n">
        <x:f>IF(J60="","",ROUND(J60*Tariffs!$D$6,2))</x:f>
        <x:v>3.66</x:v>
      </x:c>
      <x:c r="O60" s="7" t="n">
        <x:f>IF(J60="","",ROUND(J60*Tariffs!$D$7,2))</x:f>
        <x:v>3.67</x:v>
      </x:c>
      <x:c r="P60" s="5" t="str">
        <x:v>https://neuromia.ru/app/images/nano-banana</x:v>
      </x:c>
      <x:c r="Q60" s="8" t="n">
        <x:v>46282.375</x:v>
      </x:c>
      <x:c r="R60" s="5" t="str">
        <x:v>Цена показана до генерации при пустом промпте.</x:v>
      </x:c>
    </x:row>
    <x:row r="61" ht="22" customHeight="1">
      <x:c r="A61" s="5" t="str">
        <x:v>Изображение</x:v>
      </x:c>
      <x:c r="B61" s="5" t="str">
        <x:v>Nano Banana</x:v>
      </x:c>
      <x:c r="C61" s="5" t="str">
        <x:v>Текст → изображение</x:v>
      </x:c>
      <x:c r="D61" s="5" t="str">
        <x:v>—</x:v>
      </x:c>
      <x:c r="E61" s="5" t="str">
        <x:v>9:16</x:v>
      </x:c>
      <x:c r="F61" s="5" t="str"/>
      <x:c r="G61" s="5" t="str"/>
      <x:c r="H61" s="5" t="str">
        <x:v>Без исходного файла</x:v>
      </x:c>
      <x:c r="I61" s="6" t="n">
        <x:v>4.4</x:v>
      </x:c>
      <x:c r="J61" s="6" t="n">
        <x:v>4.4</x:v>
      </x:c>
      <x:c r="K61" s="5" t="str">
        <x:v>Точная цена в редакторе</x:v>
      </x:c>
      <x:c r="L61" s="5" t="str">
        <x:v>изображение</x:v>
      </x:c>
      <x:c r="M61" s="7" t="n">
        <x:f>IF(J61="","",ROUND(J61*Tariffs!$D$5,2))</x:f>
        <x:v>3.66</x:v>
      </x:c>
      <x:c r="N61" s="7" t="n">
        <x:f>IF(J61="","",ROUND(J61*Tariffs!$D$6,2))</x:f>
        <x:v>3.66</x:v>
      </x:c>
      <x:c r="O61" s="7" t="n">
        <x:f>IF(J61="","",ROUND(J61*Tariffs!$D$7,2))</x:f>
        <x:v>3.67</x:v>
      </x:c>
      <x:c r="P61" s="5" t="str">
        <x:v>https://neuromia.ru/app/images/nano-banana</x:v>
      </x:c>
      <x:c r="Q61" s="8" t="n">
        <x:v>46282.375</x:v>
      </x:c>
      <x:c r="R61" s="5" t="str">
        <x:v>Цена показана до генерации при пустом промпте.</x:v>
      </x:c>
    </x:row>
    <x:row r="62" ht="22" customHeight="1">
      <x:c r="A62" s="5" t="str">
        <x:v>Изображение</x:v>
      </x:c>
      <x:c r="B62" s="5" t="str">
        <x:v>Nano Banana</x:v>
      </x:c>
      <x:c r="C62" s="5" t="str">
        <x:v>Текст → изображение</x:v>
      </x:c>
      <x:c r="D62" s="5" t="str">
        <x:v>—</x:v>
      </x:c>
      <x:c r="E62" s="5" t="str">
        <x:v>4:3</x:v>
      </x:c>
      <x:c r="F62" s="5" t="str"/>
      <x:c r="G62" s="5" t="str"/>
      <x:c r="H62" s="5" t="str">
        <x:v>Без исходного файла</x:v>
      </x:c>
      <x:c r="I62" s="6" t="n">
        <x:v>4.4</x:v>
      </x:c>
      <x:c r="J62" s="6" t="n">
        <x:v>4.4</x:v>
      </x:c>
      <x:c r="K62" s="5" t="str">
        <x:v>Точная цена в редакторе</x:v>
      </x:c>
      <x:c r="L62" s="5" t="str">
        <x:v>изображение</x:v>
      </x:c>
      <x:c r="M62" s="7" t="n">
        <x:f>IF(J62="","",ROUND(J62*Tariffs!$D$5,2))</x:f>
        <x:v>3.66</x:v>
      </x:c>
      <x:c r="N62" s="7" t="n">
        <x:f>IF(J62="","",ROUND(J62*Tariffs!$D$6,2))</x:f>
        <x:v>3.66</x:v>
      </x:c>
      <x:c r="O62" s="7" t="n">
        <x:f>IF(J62="","",ROUND(J62*Tariffs!$D$7,2))</x:f>
        <x:v>3.67</x:v>
      </x:c>
      <x:c r="P62" s="5" t="str">
        <x:v>https://neuromia.ru/app/images/nano-banana</x:v>
      </x:c>
      <x:c r="Q62" s="8" t="n">
        <x:v>46282.375</x:v>
      </x:c>
      <x:c r="R62" s="5" t="str">
        <x:v>Цена показана до генерации при пустом промпте.</x:v>
      </x:c>
    </x:row>
    <x:row r="63" ht="22" customHeight="1">
      <x:c r="A63" s="5" t="str">
        <x:v>Изображение</x:v>
      </x:c>
      <x:c r="B63" s="5" t="str">
        <x:v>Nano Banana</x:v>
      </x:c>
      <x:c r="C63" s="5" t="str">
        <x:v>Текст → изображение</x:v>
      </x:c>
      <x:c r="D63" s="5" t="str">
        <x:v>—</x:v>
      </x:c>
      <x:c r="E63" s="5" t="str">
        <x:v>3:4</x:v>
      </x:c>
      <x:c r="F63" s="5" t="str"/>
      <x:c r="G63" s="5" t="str"/>
      <x:c r="H63" s="5" t="str">
        <x:v>Без исходного файла</x:v>
      </x:c>
      <x:c r="I63" s="6" t="n">
        <x:v>4.4</x:v>
      </x:c>
      <x:c r="J63" s="6" t="n">
        <x:v>4.4</x:v>
      </x:c>
      <x:c r="K63" s="5" t="str">
        <x:v>Точная цена в редакторе</x:v>
      </x:c>
      <x:c r="L63" s="5" t="str">
        <x:v>изображение</x:v>
      </x:c>
      <x:c r="M63" s="7" t="n">
        <x:f>IF(J63="","",ROUND(J63*Tariffs!$D$5,2))</x:f>
        <x:v>3.66</x:v>
      </x:c>
      <x:c r="N63" s="7" t="n">
        <x:f>IF(J63="","",ROUND(J63*Tariffs!$D$6,2))</x:f>
        <x:v>3.66</x:v>
      </x:c>
      <x:c r="O63" s="7" t="n">
        <x:f>IF(J63="","",ROUND(J63*Tariffs!$D$7,2))</x:f>
        <x:v>3.67</x:v>
      </x:c>
      <x:c r="P63" s="5" t="str">
        <x:v>https://neuromia.ru/app/images/nano-banana</x:v>
      </x:c>
      <x:c r="Q63" s="8" t="n">
        <x:v>46282.375</x:v>
      </x:c>
      <x:c r="R63" s="5" t="str">
        <x:v>Цена показана до генерации при пустом промпте.</x:v>
      </x:c>
    </x:row>
    <x:row r="64" ht="22" customHeight="1">
      <x:c r="A64" s="5" t="str">
        <x:v>Изображение</x:v>
      </x:c>
      <x:c r="B64" s="5" t="str">
        <x:v>Nano Banana</x:v>
      </x:c>
      <x:c r="C64" s="5" t="str">
        <x:v>Текст → изображение</x:v>
      </x:c>
      <x:c r="D64" s="5" t="str">
        <x:v>—</x:v>
      </x:c>
      <x:c r="E64" s="5" t="str">
        <x:v>3:2</x:v>
      </x:c>
      <x:c r="F64" s="5" t="str"/>
      <x:c r="G64" s="5" t="str"/>
      <x:c r="H64" s="5" t="str">
        <x:v>Без исходного файла</x:v>
      </x:c>
      <x:c r="I64" s="6" t="n">
        <x:v>4.4</x:v>
      </x:c>
      <x:c r="J64" s="6" t="n">
        <x:v>4.4</x:v>
      </x:c>
      <x:c r="K64" s="5" t="str">
        <x:v>Точная цена в редакторе</x:v>
      </x:c>
      <x:c r="L64" s="5" t="str">
        <x:v>изображение</x:v>
      </x:c>
      <x:c r="M64" s="7" t="n">
        <x:f>IF(J64="","",ROUND(J64*Tariffs!$D$5,2))</x:f>
        <x:v>3.66</x:v>
      </x:c>
      <x:c r="N64" s="7" t="n">
        <x:f>IF(J64="","",ROUND(J64*Tariffs!$D$6,2))</x:f>
        <x:v>3.66</x:v>
      </x:c>
      <x:c r="O64" s="7" t="n">
        <x:f>IF(J64="","",ROUND(J64*Tariffs!$D$7,2))</x:f>
        <x:v>3.67</x:v>
      </x:c>
      <x:c r="P64" s="5" t="str">
        <x:v>https://neuromia.ru/app/images/nano-banana</x:v>
      </x:c>
      <x:c r="Q64" s="8" t="n">
        <x:v>46282.375</x:v>
      </x:c>
      <x:c r="R64" s="5" t="str">
        <x:v>Цена показана до генерации при пустом промпте.</x:v>
      </x:c>
    </x:row>
    <x:row r="65" ht="22" customHeight="1">
      <x:c r="A65" s="5" t="str">
        <x:v>Изображение</x:v>
      </x:c>
      <x:c r="B65" s="5" t="str">
        <x:v>Nano Banana</x:v>
      </x:c>
      <x:c r="C65" s="5" t="str">
        <x:v>Текст → изображение</x:v>
      </x:c>
      <x:c r="D65" s="5" t="str">
        <x:v>—</x:v>
      </x:c>
      <x:c r="E65" s="5" t="str">
        <x:v>2:3</x:v>
      </x:c>
      <x:c r="F65" s="5" t="str"/>
      <x:c r="G65" s="5" t="str"/>
      <x:c r="H65" s="5" t="str">
        <x:v>Без исходного файла</x:v>
      </x:c>
      <x:c r="I65" s="6" t="n">
        <x:v>4.4</x:v>
      </x:c>
      <x:c r="J65" s="6" t="n">
        <x:v>4.4</x:v>
      </x:c>
      <x:c r="K65" s="5" t="str">
        <x:v>Точная цена в редакторе</x:v>
      </x:c>
      <x:c r="L65" s="5" t="str">
        <x:v>изображение</x:v>
      </x:c>
      <x:c r="M65" s="7" t="n">
        <x:f>IF(J65="","",ROUND(J65*Tariffs!$D$5,2))</x:f>
        <x:v>3.66</x:v>
      </x:c>
      <x:c r="N65" s="7" t="n">
        <x:f>IF(J65="","",ROUND(J65*Tariffs!$D$6,2))</x:f>
        <x:v>3.66</x:v>
      </x:c>
      <x:c r="O65" s="7" t="n">
        <x:f>IF(J65="","",ROUND(J65*Tariffs!$D$7,2))</x:f>
        <x:v>3.67</x:v>
      </x:c>
      <x:c r="P65" s="5" t="str">
        <x:v>https://neuromia.ru/app/images/nano-banana</x:v>
      </x:c>
      <x:c r="Q65" s="8" t="n">
        <x:v>46282.375</x:v>
      </x:c>
      <x:c r="R65" s="5" t="str">
        <x:v>Цена показана до генерации при пустом промпте.</x:v>
      </x:c>
    </x:row>
    <x:row r="66" ht="22" customHeight="1">
      <x:c r="A66" s="5" t="str">
        <x:v>Изображение</x:v>
      </x:c>
      <x:c r="B66" s="5" t="str">
        <x:v>Nano Banana</x:v>
      </x:c>
      <x:c r="C66" s="5" t="str">
        <x:v>Текст → изображение</x:v>
      </x:c>
      <x:c r="D66" s="5" t="str">
        <x:v>—</x:v>
      </x:c>
      <x:c r="E66" s="5" t="str">
        <x:v>5:4</x:v>
      </x:c>
      <x:c r="F66" s="5" t="str"/>
      <x:c r="G66" s="5" t="str"/>
      <x:c r="H66" s="5" t="str">
        <x:v>Без исходного файла</x:v>
      </x:c>
      <x:c r="I66" s="6" t="n">
        <x:v>4.4</x:v>
      </x:c>
      <x:c r="J66" s="6" t="n">
        <x:v>4.4</x:v>
      </x:c>
      <x:c r="K66" s="5" t="str">
        <x:v>Точная цена в редакторе</x:v>
      </x:c>
      <x:c r="L66" s="5" t="str">
        <x:v>изображение</x:v>
      </x:c>
      <x:c r="M66" s="7" t="n">
        <x:f>IF(J66="","",ROUND(J66*Tariffs!$D$5,2))</x:f>
        <x:v>3.66</x:v>
      </x:c>
      <x:c r="N66" s="7" t="n">
        <x:f>IF(J66="","",ROUND(J66*Tariffs!$D$6,2))</x:f>
        <x:v>3.66</x:v>
      </x:c>
      <x:c r="O66" s="7" t="n">
        <x:f>IF(J66="","",ROUND(J66*Tariffs!$D$7,2))</x:f>
        <x:v>3.67</x:v>
      </x:c>
      <x:c r="P66" s="5" t="str">
        <x:v>https://neuromia.ru/app/images/nano-banana</x:v>
      </x:c>
      <x:c r="Q66" s="8" t="n">
        <x:v>46282.375</x:v>
      </x:c>
      <x:c r="R66" s="5" t="str">
        <x:v>Цена показана до генерации при пустом промпте.</x:v>
      </x:c>
    </x:row>
    <x:row r="67" ht="22" customHeight="1">
      <x:c r="A67" s="5" t="str">
        <x:v>Изображение</x:v>
      </x:c>
      <x:c r="B67" s="5" t="str">
        <x:v>Nano Banana</x:v>
      </x:c>
      <x:c r="C67" s="5" t="str">
        <x:v>Текст → изображение</x:v>
      </x:c>
      <x:c r="D67" s="5" t="str">
        <x:v>—</x:v>
      </x:c>
      <x:c r="E67" s="5" t="str">
        <x:v>4:5</x:v>
      </x:c>
      <x:c r="F67" s="5" t="str"/>
      <x:c r="G67" s="5" t="str"/>
      <x:c r="H67" s="5" t="str">
        <x:v>Без исходного файла</x:v>
      </x:c>
      <x:c r="I67" s="6" t="n">
        <x:v>4.4</x:v>
      </x:c>
      <x:c r="J67" s="6" t="n">
        <x:v>4.4</x:v>
      </x:c>
      <x:c r="K67" s="5" t="str">
        <x:v>Точная цена в редакторе</x:v>
      </x:c>
      <x:c r="L67" s="5" t="str">
        <x:v>изображение</x:v>
      </x:c>
      <x:c r="M67" s="7" t="n">
        <x:f>IF(J67="","",ROUND(J67*Tariffs!$D$5,2))</x:f>
        <x:v>3.66</x:v>
      </x:c>
      <x:c r="N67" s="7" t="n">
        <x:f>IF(J67="","",ROUND(J67*Tariffs!$D$6,2))</x:f>
        <x:v>3.66</x:v>
      </x:c>
      <x:c r="O67" s="7" t="n">
        <x:f>IF(J67="","",ROUND(J67*Tariffs!$D$7,2))</x:f>
        <x:v>3.67</x:v>
      </x:c>
      <x:c r="P67" s="5" t="str">
        <x:v>https://neuromia.ru/app/images/nano-banana</x:v>
      </x:c>
      <x:c r="Q67" s="8" t="n">
        <x:v>46282.375</x:v>
      </x:c>
      <x:c r="R67" s="5" t="str">
        <x:v>Цена показана до генерации при пустом промпте.</x:v>
      </x:c>
    </x:row>
    <x:row r="68" ht="22" customHeight="1">
      <x:c r="A68" s="5" t="str">
        <x:v>Изображение</x:v>
      </x:c>
      <x:c r="B68" s="5" t="str">
        <x:v>Nano Banana</x:v>
      </x:c>
      <x:c r="C68" s="5" t="str">
        <x:v>Текст → изображение</x:v>
      </x:c>
      <x:c r="D68" s="5" t="str">
        <x:v>—</x:v>
      </x:c>
      <x:c r="E68" s="5" t="str">
        <x:v>21:9</x:v>
      </x:c>
      <x:c r="F68" s="5" t="str"/>
      <x:c r="G68" s="5" t="str"/>
      <x:c r="H68" s="5" t="str">
        <x:v>Без исходного файла</x:v>
      </x:c>
      <x:c r="I68" s="6" t="n">
        <x:v>4.4</x:v>
      </x:c>
      <x:c r="J68" s="6" t="n">
        <x:v>4.4</x:v>
      </x:c>
      <x:c r="K68" s="5" t="str">
        <x:v>Точная цена в редакторе</x:v>
      </x:c>
      <x:c r="L68" s="5" t="str">
        <x:v>изображение</x:v>
      </x:c>
      <x:c r="M68" s="7" t="n">
        <x:f>IF(J68="","",ROUND(J68*Tariffs!$D$5,2))</x:f>
        <x:v>3.66</x:v>
      </x:c>
      <x:c r="N68" s="7" t="n">
        <x:f>IF(J68="","",ROUND(J68*Tariffs!$D$6,2))</x:f>
        <x:v>3.66</x:v>
      </x:c>
      <x:c r="O68" s="7" t="n">
        <x:f>IF(J68="","",ROUND(J68*Tariffs!$D$7,2))</x:f>
        <x:v>3.67</x:v>
      </x:c>
      <x:c r="P68" s="5" t="str">
        <x:v>https://neuromia.ru/app/images/nano-banana</x:v>
      </x:c>
      <x:c r="Q68" s="8" t="n">
        <x:v>46282.375</x:v>
      </x:c>
      <x:c r="R68" s="5" t="str">
        <x:v>Цена показана до генерации при пустом промпте.</x:v>
      </x:c>
    </x:row>
    <x:row r="69" ht="22" customHeight="1">
      <x:c r="A69" s="5" t="str">
        <x:v>Изображение</x:v>
      </x:c>
      <x:c r="B69" s="5" t="str">
        <x:v>Seedream 4.5</x:v>
      </x:c>
      <x:c r="C69" s="5" t="str">
        <x:v>Текст → изображение</x:v>
      </x:c>
      <x:c r="D69" s="5" t="str">
        <x:v>2K</x:v>
      </x:c>
      <x:c r="E69" s="5" t="str">
        <x:v>1:1</x:v>
      </x:c>
      <x:c r="F69" s="5" t="str"/>
      <x:c r="G69" s="5" t="str"/>
      <x:c r="H69" s="5" t="str">
        <x:v>Без исходного файла</x:v>
      </x:c>
      <x:c r="I69" s="6" t="n">
        <x:v>7.15</x:v>
      </x:c>
      <x:c r="J69" s="6" t="n">
        <x:v>7.15</x:v>
      </x:c>
      <x:c r="K69" s="5" t="str">
        <x:v>Точная цена в редакторе</x:v>
      </x:c>
      <x:c r="L69" s="5" t="str">
        <x:v>изображение</x:v>
      </x:c>
      <x:c r="M69" s="7" t="n">
        <x:f>IF(J69="","",ROUND(J69*Tariffs!$D$5,2))</x:f>
        <x:v>5.95</x:v>
      </x:c>
      <x:c r="N69" s="7" t="n">
        <x:f>IF(J69="","",ROUND(J69*Tariffs!$D$6,2))</x:f>
        <x:v>5.95</x:v>
      </x:c>
      <x:c r="O69" s="7" t="n">
        <x:f>IF(J69="","",ROUND(J69*Tariffs!$D$7,2))</x:f>
        <x:v>5.96</x:v>
      </x:c>
      <x:c r="P69" s="5" t="str">
        <x:v>https://neuromia.ru/app/images/seedream</x:v>
      </x:c>
      <x:c r="Q69" s="8" t="n">
        <x:v>46282.375</x:v>
      </x:c>
      <x:c r="R69" s="5" t="str">
        <x:v>Цена показана до генерации при пустом промпте.</x:v>
      </x:c>
    </x:row>
    <x:row r="70" ht="22" customHeight="1">
      <x:c r="A70" s="5" t="str">
        <x:v>Изображение</x:v>
      </x:c>
      <x:c r="B70" s="5" t="str">
        <x:v>Seedream 4.5</x:v>
      </x:c>
      <x:c r="C70" s="5" t="str">
        <x:v>Текст → изображение</x:v>
      </x:c>
      <x:c r="D70" s="5" t="str">
        <x:v>2K</x:v>
      </x:c>
      <x:c r="E70" s="5" t="str">
        <x:v>16:9</x:v>
      </x:c>
      <x:c r="F70" s="5" t="str"/>
      <x:c r="G70" s="5" t="str"/>
      <x:c r="H70" s="5" t="str">
        <x:v>Без исходного файла</x:v>
      </x:c>
      <x:c r="I70" s="6" t="n">
        <x:v>7.15</x:v>
      </x:c>
      <x:c r="J70" s="6" t="n">
        <x:v>7.15</x:v>
      </x:c>
      <x:c r="K70" s="5" t="str">
        <x:v>Точная цена в редакторе</x:v>
      </x:c>
      <x:c r="L70" s="5" t="str">
        <x:v>изображение</x:v>
      </x:c>
      <x:c r="M70" s="7" t="n">
        <x:f>IF(J70="","",ROUND(J70*Tariffs!$D$5,2))</x:f>
        <x:v>5.95</x:v>
      </x:c>
      <x:c r="N70" s="7" t="n">
        <x:f>IF(J70="","",ROUND(J70*Tariffs!$D$6,2))</x:f>
        <x:v>5.95</x:v>
      </x:c>
      <x:c r="O70" s="7" t="n">
        <x:f>IF(J70="","",ROUND(J70*Tariffs!$D$7,2))</x:f>
        <x:v>5.96</x:v>
      </x:c>
      <x:c r="P70" s="5" t="str">
        <x:v>https://neuromia.ru/app/images/seedream</x:v>
      </x:c>
      <x:c r="Q70" s="8" t="n">
        <x:v>46282.375</x:v>
      </x:c>
      <x:c r="R70" s="5" t="str">
        <x:v>Цена показана до генерации при пустом промпте.</x:v>
      </x:c>
    </x:row>
    <x:row r="71" ht="22" customHeight="1">
      <x:c r="A71" s="5" t="str">
        <x:v>Изображение</x:v>
      </x:c>
      <x:c r="B71" s="5" t="str">
        <x:v>Seedream 4.5</x:v>
      </x:c>
      <x:c r="C71" s="5" t="str">
        <x:v>Текст → изображение</x:v>
      </x:c>
      <x:c r="D71" s="5" t="str">
        <x:v>2K</x:v>
      </x:c>
      <x:c r="E71" s="5" t="str">
        <x:v>9:16</x:v>
      </x:c>
      <x:c r="F71" s="5" t="str"/>
      <x:c r="G71" s="5" t="str"/>
      <x:c r="H71" s="5" t="str">
        <x:v>Без исходного файла</x:v>
      </x:c>
      <x:c r="I71" s="6" t="n">
        <x:v>7.15</x:v>
      </x:c>
      <x:c r="J71" s="6" t="n">
        <x:v>7.15</x:v>
      </x:c>
      <x:c r="K71" s="5" t="str">
        <x:v>Точная цена в редакторе</x:v>
      </x:c>
      <x:c r="L71" s="5" t="str">
        <x:v>изображение</x:v>
      </x:c>
      <x:c r="M71" s="7" t="n">
        <x:f>IF(J71="","",ROUND(J71*Tariffs!$D$5,2))</x:f>
        <x:v>5.95</x:v>
      </x:c>
      <x:c r="N71" s="7" t="n">
        <x:f>IF(J71="","",ROUND(J71*Tariffs!$D$6,2))</x:f>
        <x:v>5.95</x:v>
      </x:c>
      <x:c r="O71" s="7" t="n">
        <x:f>IF(J71="","",ROUND(J71*Tariffs!$D$7,2))</x:f>
        <x:v>5.96</x:v>
      </x:c>
      <x:c r="P71" s="5" t="str">
        <x:v>https://neuromia.ru/app/images/seedream</x:v>
      </x:c>
      <x:c r="Q71" s="8" t="n">
        <x:v>46282.375</x:v>
      </x:c>
      <x:c r="R71" s="5" t="str">
        <x:v>Цена показана до генерации при пустом промпте.</x:v>
      </x:c>
    </x:row>
    <x:row r="72" ht="22" customHeight="1">
      <x:c r="A72" s="5" t="str">
        <x:v>Изображение</x:v>
      </x:c>
      <x:c r="B72" s="5" t="str">
        <x:v>Seedream 4.5</x:v>
      </x:c>
      <x:c r="C72" s="5" t="str">
        <x:v>Текст → изображение</x:v>
      </x:c>
      <x:c r="D72" s="5" t="str">
        <x:v>2K</x:v>
      </x:c>
      <x:c r="E72" s="5" t="str">
        <x:v>4:3</x:v>
      </x:c>
      <x:c r="F72" s="5" t="str"/>
      <x:c r="G72" s="5" t="str"/>
      <x:c r="H72" s="5" t="str">
        <x:v>Без исходного файла</x:v>
      </x:c>
      <x:c r="I72" s="6" t="n">
        <x:v>7.15</x:v>
      </x:c>
      <x:c r="J72" s="6" t="n">
        <x:v>7.15</x:v>
      </x:c>
      <x:c r="K72" s="5" t="str">
        <x:v>Точная цена в редакторе</x:v>
      </x:c>
      <x:c r="L72" s="5" t="str">
        <x:v>изображение</x:v>
      </x:c>
      <x:c r="M72" s="7" t="n">
        <x:f>IF(J72="","",ROUND(J72*Tariffs!$D$5,2))</x:f>
        <x:v>5.95</x:v>
      </x:c>
      <x:c r="N72" s="7" t="n">
        <x:f>IF(J72="","",ROUND(J72*Tariffs!$D$6,2))</x:f>
        <x:v>5.95</x:v>
      </x:c>
      <x:c r="O72" s="7" t="n">
        <x:f>IF(J72="","",ROUND(J72*Tariffs!$D$7,2))</x:f>
        <x:v>5.96</x:v>
      </x:c>
      <x:c r="P72" s="5" t="str">
        <x:v>https://neuromia.ru/app/images/seedream</x:v>
      </x:c>
      <x:c r="Q72" s="8" t="n">
        <x:v>46282.375</x:v>
      </x:c>
      <x:c r="R72" s="5" t="str">
        <x:v>Цена показана до генерации при пустом промпте.</x:v>
      </x:c>
    </x:row>
    <x:row r="73" ht="22" customHeight="1">
      <x:c r="A73" s="5" t="str">
        <x:v>Изображение</x:v>
      </x:c>
      <x:c r="B73" s="5" t="str">
        <x:v>Seedream 4.5</x:v>
      </x:c>
      <x:c r="C73" s="5" t="str">
        <x:v>Текст → изображение</x:v>
      </x:c>
      <x:c r="D73" s="5" t="str">
        <x:v>2K</x:v>
      </x:c>
      <x:c r="E73" s="5" t="str">
        <x:v>3:4</x:v>
      </x:c>
      <x:c r="F73" s="5" t="str"/>
      <x:c r="G73" s="5" t="str"/>
      <x:c r="H73" s="5" t="str">
        <x:v>Без исходного файла</x:v>
      </x:c>
      <x:c r="I73" s="6" t="n">
        <x:v>7.15</x:v>
      </x:c>
      <x:c r="J73" s="6" t="n">
        <x:v>7.15</x:v>
      </x:c>
      <x:c r="K73" s="5" t="str">
        <x:v>Точная цена в редакторе</x:v>
      </x:c>
      <x:c r="L73" s="5" t="str">
        <x:v>изображение</x:v>
      </x:c>
      <x:c r="M73" s="7" t="n">
        <x:f>IF(J73="","",ROUND(J73*Tariffs!$D$5,2))</x:f>
        <x:v>5.95</x:v>
      </x:c>
      <x:c r="N73" s="7" t="n">
        <x:f>IF(J73="","",ROUND(J73*Tariffs!$D$6,2))</x:f>
        <x:v>5.95</x:v>
      </x:c>
      <x:c r="O73" s="7" t="n">
        <x:f>IF(J73="","",ROUND(J73*Tariffs!$D$7,2))</x:f>
        <x:v>5.96</x:v>
      </x:c>
      <x:c r="P73" s="5" t="str">
        <x:v>https://neuromia.ru/app/images/seedream</x:v>
      </x:c>
      <x:c r="Q73" s="8" t="n">
        <x:v>46282.375</x:v>
      </x:c>
      <x:c r="R73" s="5" t="str">
        <x:v>Цена показана до генерации при пустом промпте.</x:v>
      </x:c>
    </x:row>
    <x:row r="74" ht="22" customHeight="1">
      <x:c r="A74" s="5" t="str">
        <x:v>Изображение</x:v>
      </x:c>
      <x:c r="B74" s="5" t="str">
        <x:v>Seedream 4.5</x:v>
      </x:c>
      <x:c r="C74" s="5" t="str">
        <x:v>Текст → изображение</x:v>
      </x:c>
      <x:c r="D74" s="5" t="str">
        <x:v>2K</x:v>
      </x:c>
      <x:c r="E74" s="5" t="str">
        <x:v>3:2</x:v>
      </x:c>
      <x:c r="F74" s="5" t="str"/>
      <x:c r="G74" s="5" t="str"/>
      <x:c r="H74" s="5" t="str">
        <x:v>Без исходного файла</x:v>
      </x:c>
      <x:c r="I74" s="6" t="n">
        <x:v>7.15</x:v>
      </x:c>
      <x:c r="J74" s="6" t="n">
        <x:v>7.15</x:v>
      </x:c>
      <x:c r="K74" s="5" t="str">
        <x:v>Точная цена в редакторе</x:v>
      </x:c>
      <x:c r="L74" s="5" t="str">
        <x:v>изображение</x:v>
      </x:c>
      <x:c r="M74" s="7" t="n">
        <x:f>IF(J74="","",ROUND(J74*Tariffs!$D$5,2))</x:f>
        <x:v>5.95</x:v>
      </x:c>
      <x:c r="N74" s="7" t="n">
        <x:f>IF(J74="","",ROUND(J74*Tariffs!$D$6,2))</x:f>
        <x:v>5.95</x:v>
      </x:c>
      <x:c r="O74" s="7" t="n">
        <x:f>IF(J74="","",ROUND(J74*Tariffs!$D$7,2))</x:f>
        <x:v>5.96</x:v>
      </x:c>
      <x:c r="P74" s="5" t="str">
        <x:v>https://neuromia.ru/app/images/seedream</x:v>
      </x:c>
      <x:c r="Q74" s="8" t="n">
        <x:v>46282.375</x:v>
      </x:c>
      <x:c r="R74" s="5" t="str">
        <x:v>Цена показана до генерации при пустом промпте.</x:v>
      </x:c>
    </x:row>
    <x:row r="75" ht="22" customHeight="1">
      <x:c r="A75" s="5" t="str">
        <x:v>Изображение</x:v>
      </x:c>
      <x:c r="B75" s="5" t="str">
        <x:v>Seedream 4.5</x:v>
      </x:c>
      <x:c r="C75" s="5" t="str">
        <x:v>Текст → изображение</x:v>
      </x:c>
      <x:c r="D75" s="5" t="str">
        <x:v>2K</x:v>
      </x:c>
      <x:c r="E75" s="5" t="str">
        <x:v>2:3</x:v>
      </x:c>
      <x:c r="F75" s="5" t="str"/>
      <x:c r="G75" s="5" t="str"/>
      <x:c r="H75" s="5" t="str">
        <x:v>Без исходного файла</x:v>
      </x:c>
      <x:c r="I75" s="6" t="n">
        <x:v>7.15</x:v>
      </x:c>
      <x:c r="J75" s="6" t="n">
        <x:v>7.15</x:v>
      </x:c>
      <x:c r="K75" s="5" t="str">
        <x:v>Точная цена в редакторе</x:v>
      </x:c>
      <x:c r="L75" s="5" t="str">
        <x:v>изображение</x:v>
      </x:c>
      <x:c r="M75" s="7" t="n">
        <x:f>IF(J75="","",ROUND(J75*Tariffs!$D$5,2))</x:f>
        <x:v>5.95</x:v>
      </x:c>
      <x:c r="N75" s="7" t="n">
        <x:f>IF(J75="","",ROUND(J75*Tariffs!$D$6,2))</x:f>
        <x:v>5.95</x:v>
      </x:c>
      <x:c r="O75" s="7" t="n">
        <x:f>IF(J75="","",ROUND(J75*Tariffs!$D$7,2))</x:f>
        <x:v>5.96</x:v>
      </x:c>
      <x:c r="P75" s="5" t="str">
        <x:v>https://neuromia.ru/app/images/seedream</x:v>
      </x:c>
      <x:c r="Q75" s="8" t="n">
        <x:v>46282.375</x:v>
      </x:c>
      <x:c r="R75" s="5" t="str">
        <x:v>Цена показана до генерации при пустом промпте.</x:v>
      </x:c>
    </x:row>
    <x:row r="76" ht="22" customHeight="1">
      <x:c r="A76" s="5" t="str">
        <x:v>Изображение</x:v>
      </x:c>
      <x:c r="B76" s="5" t="str">
        <x:v>Seedream 4.5</x:v>
      </x:c>
      <x:c r="C76" s="5" t="str">
        <x:v>Текст → изображение</x:v>
      </x:c>
      <x:c r="D76" s="5" t="str">
        <x:v>2K</x:v>
      </x:c>
      <x:c r="E76" s="5" t="str">
        <x:v>21:9</x:v>
      </x:c>
      <x:c r="F76" s="5" t="str"/>
      <x:c r="G76" s="5" t="str"/>
      <x:c r="H76" s="5" t="str">
        <x:v>Без исходного файла</x:v>
      </x:c>
      <x:c r="I76" s="6" t="n">
        <x:v>7.15</x:v>
      </x:c>
      <x:c r="J76" s="6" t="n">
        <x:v>7.15</x:v>
      </x:c>
      <x:c r="K76" s="5" t="str">
        <x:v>Точная цена в редакторе</x:v>
      </x:c>
      <x:c r="L76" s="5" t="str">
        <x:v>изображение</x:v>
      </x:c>
      <x:c r="M76" s="7" t="n">
        <x:f>IF(J76="","",ROUND(J76*Tariffs!$D$5,2))</x:f>
        <x:v>5.95</x:v>
      </x:c>
      <x:c r="N76" s="7" t="n">
        <x:f>IF(J76="","",ROUND(J76*Tariffs!$D$6,2))</x:f>
        <x:v>5.95</x:v>
      </x:c>
      <x:c r="O76" s="7" t="n">
        <x:f>IF(J76="","",ROUND(J76*Tariffs!$D$7,2))</x:f>
        <x:v>5.96</x:v>
      </x:c>
      <x:c r="P76" s="5" t="str">
        <x:v>https://neuromia.ru/app/images/seedream</x:v>
      </x:c>
      <x:c r="Q76" s="8" t="n">
        <x:v>46282.375</x:v>
      </x:c>
      <x:c r="R76" s="5" t="str">
        <x:v>Цена показана до генерации при пустом промпте.</x:v>
      </x:c>
    </x:row>
    <x:row r="77" ht="22" customHeight="1">
      <x:c r="A77" s="5" t="str">
        <x:v>Изображение</x:v>
      </x:c>
      <x:c r="B77" s="5" t="str">
        <x:v>Seedream 4.5</x:v>
      </x:c>
      <x:c r="C77" s="5" t="str">
        <x:v>Текст → изображение</x:v>
      </x:c>
      <x:c r="D77" s="5" t="str">
        <x:v>4K</x:v>
      </x:c>
      <x:c r="E77" s="5" t="str">
        <x:v>1:1</x:v>
      </x:c>
      <x:c r="F77" s="5" t="str"/>
      <x:c r="G77" s="5" t="str"/>
      <x:c r="H77" s="5" t="str">
        <x:v>Без исходного файла</x:v>
      </x:c>
      <x:c r="I77" s="6" t="n">
        <x:v>7.15</x:v>
      </x:c>
      <x:c r="J77" s="6" t="n">
        <x:v>7.15</x:v>
      </x:c>
      <x:c r="K77" s="5" t="str">
        <x:v>Точная цена в редакторе</x:v>
      </x:c>
      <x:c r="L77" s="5" t="str">
        <x:v>изображение</x:v>
      </x:c>
      <x:c r="M77" s="7" t="n">
        <x:f>IF(J77="","",ROUND(J77*Tariffs!$D$5,2))</x:f>
        <x:v>5.95</x:v>
      </x:c>
      <x:c r="N77" s="7" t="n">
        <x:f>IF(J77="","",ROUND(J77*Tariffs!$D$6,2))</x:f>
        <x:v>5.95</x:v>
      </x:c>
      <x:c r="O77" s="7" t="n">
        <x:f>IF(J77="","",ROUND(J77*Tariffs!$D$7,2))</x:f>
        <x:v>5.96</x:v>
      </x:c>
      <x:c r="P77" s="5" t="str">
        <x:v>https://neuromia.ru/app/images/seedream</x:v>
      </x:c>
      <x:c r="Q77" s="8" t="n">
        <x:v>46282.375</x:v>
      </x:c>
      <x:c r="R77" s="5" t="str">
        <x:v>Цена показана до генерации при пустом промпте.</x:v>
      </x:c>
    </x:row>
    <x:row r="78" ht="22" customHeight="1">
      <x:c r="A78" s="5" t="str">
        <x:v>Изображение</x:v>
      </x:c>
      <x:c r="B78" s="5" t="str">
        <x:v>Seedream 4.5</x:v>
      </x:c>
      <x:c r="C78" s="5" t="str">
        <x:v>Текст → изображение</x:v>
      </x:c>
      <x:c r="D78" s="5" t="str">
        <x:v>4K</x:v>
      </x:c>
      <x:c r="E78" s="5" t="str">
        <x:v>16:9</x:v>
      </x:c>
      <x:c r="F78" s="5" t="str"/>
      <x:c r="G78" s="5" t="str"/>
      <x:c r="H78" s="5" t="str">
        <x:v>Без исходного файла</x:v>
      </x:c>
      <x:c r="I78" s="6" t="n">
        <x:v>7.15</x:v>
      </x:c>
      <x:c r="J78" s="6" t="n">
        <x:v>7.15</x:v>
      </x:c>
      <x:c r="K78" s="5" t="str">
        <x:v>Точная цена в редакторе</x:v>
      </x:c>
      <x:c r="L78" s="5" t="str">
        <x:v>изображение</x:v>
      </x:c>
      <x:c r="M78" s="7" t="n">
        <x:f>IF(J78="","",ROUND(J78*Tariffs!$D$5,2))</x:f>
        <x:v>5.95</x:v>
      </x:c>
      <x:c r="N78" s="7" t="n">
        <x:f>IF(J78="","",ROUND(J78*Tariffs!$D$6,2))</x:f>
        <x:v>5.95</x:v>
      </x:c>
      <x:c r="O78" s="7" t="n">
        <x:f>IF(J78="","",ROUND(J78*Tariffs!$D$7,2))</x:f>
        <x:v>5.96</x:v>
      </x:c>
      <x:c r="P78" s="5" t="str">
        <x:v>https://neuromia.ru/app/images/seedream</x:v>
      </x:c>
      <x:c r="Q78" s="8" t="n">
        <x:v>46282.375</x:v>
      </x:c>
      <x:c r="R78" s="5" t="str">
        <x:v>Цена показана до генерации при пустом промпте.</x:v>
      </x:c>
    </x:row>
    <x:row r="79" ht="22" customHeight="1">
      <x:c r="A79" s="5" t="str">
        <x:v>Изображение</x:v>
      </x:c>
      <x:c r="B79" s="5" t="str">
        <x:v>Seedream 4.5</x:v>
      </x:c>
      <x:c r="C79" s="5" t="str">
        <x:v>Текст → изображение</x:v>
      </x:c>
      <x:c r="D79" s="5" t="str">
        <x:v>4K</x:v>
      </x:c>
      <x:c r="E79" s="5" t="str">
        <x:v>9:16</x:v>
      </x:c>
      <x:c r="F79" s="5" t="str"/>
      <x:c r="G79" s="5" t="str"/>
      <x:c r="H79" s="5" t="str">
        <x:v>Без исходного файла</x:v>
      </x:c>
      <x:c r="I79" s="6" t="n">
        <x:v>7.15</x:v>
      </x:c>
      <x:c r="J79" s="6" t="n">
        <x:v>7.15</x:v>
      </x:c>
      <x:c r="K79" s="5" t="str">
        <x:v>Точная цена в редакторе</x:v>
      </x:c>
      <x:c r="L79" s="5" t="str">
        <x:v>изображение</x:v>
      </x:c>
      <x:c r="M79" s="7" t="n">
        <x:f>IF(J79="","",ROUND(J79*Tariffs!$D$5,2))</x:f>
        <x:v>5.95</x:v>
      </x:c>
      <x:c r="N79" s="7" t="n">
        <x:f>IF(J79="","",ROUND(J79*Tariffs!$D$6,2))</x:f>
        <x:v>5.95</x:v>
      </x:c>
      <x:c r="O79" s="7" t="n">
        <x:f>IF(J79="","",ROUND(J79*Tariffs!$D$7,2))</x:f>
        <x:v>5.96</x:v>
      </x:c>
      <x:c r="P79" s="5" t="str">
        <x:v>https://neuromia.ru/app/images/seedream</x:v>
      </x:c>
      <x:c r="Q79" s="8" t="n">
        <x:v>46282.375</x:v>
      </x:c>
      <x:c r="R79" s="5" t="str">
        <x:v>Цена показана до генерации при пустом промпте.</x:v>
      </x:c>
    </x:row>
    <x:row r="80" ht="22" customHeight="1">
      <x:c r="A80" s="5" t="str">
        <x:v>Изображение</x:v>
      </x:c>
      <x:c r="B80" s="5" t="str">
        <x:v>Seedream 4.5</x:v>
      </x:c>
      <x:c r="C80" s="5" t="str">
        <x:v>Текст → изображение</x:v>
      </x:c>
      <x:c r="D80" s="5" t="str">
        <x:v>4K</x:v>
      </x:c>
      <x:c r="E80" s="5" t="str">
        <x:v>4:3</x:v>
      </x:c>
      <x:c r="F80" s="5" t="str"/>
      <x:c r="G80" s="5" t="str"/>
      <x:c r="H80" s="5" t="str">
        <x:v>Без исходного файла</x:v>
      </x:c>
      <x:c r="I80" s="6" t="n">
        <x:v>7.15</x:v>
      </x:c>
      <x:c r="J80" s="6" t="n">
        <x:v>7.15</x:v>
      </x:c>
      <x:c r="K80" s="5" t="str">
        <x:v>Точная цена в редакторе</x:v>
      </x:c>
      <x:c r="L80" s="5" t="str">
        <x:v>изображение</x:v>
      </x:c>
      <x:c r="M80" s="7" t="n">
        <x:f>IF(J80="","",ROUND(J80*Tariffs!$D$5,2))</x:f>
        <x:v>5.95</x:v>
      </x:c>
      <x:c r="N80" s="7" t="n">
        <x:f>IF(J80="","",ROUND(J80*Tariffs!$D$6,2))</x:f>
        <x:v>5.95</x:v>
      </x:c>
      <x:c r="O80" s="7" t="n">
        <x:f>IF(J80="","",ROUND(J80*Tariffs!$D$7,2))</x:f>
        <x:v>5.96</x:v>
      </x:c>
      <x:c r="P80" s="5" t="str">
        <x:v>https://neuromia.ru/app/images/seedream</x:v>
      </x:c>
      <x:c r="Q80" s="8" t="n">
        <x:v>46282.375</x:v>
      </x:c>
      <x:c r="R80" s="5" t="str">
        <x:v>Цена показана до генерации при пустом промпте.</x:v>
      </x:c>
    </x:row>
    <x:row r="81" ht="22" customHeight="1">
      <x:c r="A81" s="5" t="str">
        <x:v>Изображение</x:v>
      </x:c>
      <x:c r="B81" s="5" t="str">
        <x:v>Seedream 4.5</x:v>
      </x:c>
      <x:c r="C81" s="5" t="str">
        <x:v>Текст → изображение</x:v>
      </x:c>
      <x:c r="D81" s="5" t="str">
        <x:v>4K</x:v>
      </x:c>
      <x:c r="E81" s="5" t="str">
        <x:v>3:4</x:v>
      </x:c>
      <x:c r="F81" s="5" t="str"/>
      <x:c r="G81" s="5" t="str"/>
      <x:c r="H81" s="5" t="str">
        <x:v>Без исходного файла</x:v>
      </x:c>
      <x:c r="I81" s="6" t="n">
        <x:v>7.15</x:v>
      </x:c>
      <x:c r="J81" s="6" t="n">
        <x:v>7.15</x:v>
      </x:c>
      <x:c r="K81" s="5" t="str">
        <x:v>Точная цена в редакторе</x:v>
      </x:c>
      <x:c r="L81" s="5" t="str">
        <x:v>изображение</x:v>
      </x:c>
      <x:c r="M81" s="7" t="n">
        <x:f>IF(J81="","",ROUND(J81*Tariffs!$D$5,2))</x:f>
        <x:v>5.95</x:v>
      </x:c>
      <x:c r="N81" s="7" t="n">
        <x:f>IF(J81="","",ROUND(J81*Tariffs!$D$6,2))</x:f>
        <x:v>5.95</x:v>
      </x:c>
      <x:c r="O81" s="7" t="n">
        <x:f>IF(J81="","",ROUND(J81*Tariffs!$D$7,2))</x:f>
        <x:v>5.96</x:v>
      </x:c>
      <x:c r="P81" s="5" t="str">
        <x:v>https://neuromia.ru/app/images/seedream</x:v>
      </x:c>
      <x:c r="Q81" s="8" t="n">
        <x:v>46282.375</x:v>
      </x:c>
      <x:c r="R81" s="5" t="str">
        <x:v>Цена показана до генерации при пустом промпте.</x:v>
      </x:c>
    </x:row>
    <x:row r="82" ht="22" customHeight="1">
      <x:c r="A82" s="5" t="str">
        <x:v>Изображение</x:v>
      </x:c>
      <x:c r="B82" s="5" t="str">
        <x:v>Seedream 4.5</x:v>
      </x:c>
      <x:c r="C82" s="5" t="str">
        <x:v>Текст → изображение</x:v>
      </x:c>
      <x:c r="D82" s="5" t="str">
        <x:v>4K</x:v>
      </x:c>
      <x:c r="E82" s="5" t="str">
        <x:v>3:2</x:v>
      </x:c>
      <x:c r="F82" s="5" t="str"/>
      <x:c r="G82" s="5" t="str"/>
      <x:c r="H82" s="5" t="str">
        <x:v>Без исходного файла</x:v>
      </x:c>
      <x:c r="I82" s="6" t="n">
        <x:v>7.15</x:v>
      </x:c>
      <x:c r="J82" s="6" t="n">
        <x:v>7.15</x:v>
      </x:c>
      <x:c r="K82" s="5" t="str">
        <x:v>Точная цена в редакторе</x:v>
      </x:c>
      <x:c r="L82" s="5" t="str">
        <x:v>изображение</x:v>
      </x:c>
      <x:c r="M82" s="7" t="n">
        <x:f>IF(J82="","",ROUND(J82*Tariffs!$D$5,2))</x:f>
        <x:v>5.95</x:v>
      </x:c>
      <x:c r="N82" s="7" t="n">
        <x:f>IF(J82="","",ROUND(J82*Tariffs!$D$6,2))</x:f>
        <x:v>5.95</x:v>
      </x:c>
      <x:c r="O82" s="7" t="n">
        <x:f>IF(J82="","",ROUND(J82*Tariffs!$D$7,2))</x:f>
        <x:v>5.96</x:v>
      </x:c>
      <x:c r="P82" s="5" t="str">
        <x:v>https://neuromia.ru/app/images/seedream</x:v>
      </x:c>
      <x:c r="Q82" s="8" t="n">
        <x:v>46282.375</x:v>
      </x:c>
      <x:c r="R82" s="5" t="str">
        <x:v>Цена показана до генерации при пустом промпте.</x:v>
      </x:c>
    </x:row>
    <x:row r="83" ht="22" customHeight="1">
      <x:c r="A83" s="5" t="str">
        <x:v>Изображение</x:v>
      </x:c>
      <x:c r="B83" s="5" t="str">
        <x:v>Seedream 4.5</x:v>
      </x:c>
      <x:c r="C83" s="5" t="str">
        <x:v>Текст → изображение</x:v>
      </x:c>
      <x:c r="D83" s="5" t="str">
        <x:v>4K</x:v>
      </x:c>
      <x:c r="E83" s="5" t="str">
        <x:v>2:3</x:v>
      </x:c>
      <x:c r="F83" s="5" t="str"/>
      <x:c r="G83" s="5" t="str"/>
      <x:c r="H83" s="5" t="str">
        <x:v>Без исходного файла</x:v>
      </x:c>
      <x:c r="I83" s="6" t="n">
        <x:v>7.15</x:v>
      </x:c>
      <x:c r="J83" s="6" t="n">
        <x:v>7.15</x:v>
      </x:c>
      <x:c r="K83" s="5" t="str">
        <x:v>Точная цена в редакторе</x:v>
      </x:c>
      <x:c r="L83" s="5" t="str">
        <x:v>изображение</x:v>
      </x:c>
      <x:c r="M83" s="7" t="n">
        <x:f>IF(J83="","",ROUND(J83*Tariffs!$D$5,2))</x:f>
        <x:v>5.95</x:v>
      </x:c>
      <x:c r="N83" s="7" t="n">
        <x:f>IF(J83="","",ROUND(J83*Tariffs!$D$6,2))</x:f>
        <x:v>5.95</x:v>
      </x:c>
      <x:c r="O83" s="7" t="n">
        <x:f>IF(J83="","",ROUND(J83*Tariffs!$D$7,2))</x:f>
        <x:v>5.96</x:v>
      </x:c>
      <x:c r="P83" s="5" t="str">
        <x:v>https://neuromia.ru/app/images/seedream</x:v>
      </x:c>
      <x:c r="Q83" s="8" t="n">
        <x:v>46282.375</x:v>
      </x:c>
      <x:c r="R83" s="5" t="str">
        <x:v>Цена показана до генерации при пустом промпте.</x:v>
      </x:c>
    </x:row>
    <x:row r="84" ht="22" customHeight="1">
      <x:c r="A84" s="5" t="str">
        <x:v>Изображение</x:v>
      </x:c>
      <x:c r="B84" s="5" t="str">
        <x:v>Seedream 4.5</x:v>
      </x:c>
      <x:c r="C84" s="5" t="str">
        <x:v>Текст → изображение</x:v>
      </x:c>
      <x:c r="D84" s="5" t="str">
        <x:v>4K</x:v>
      </x:c>
      <x:c r="E84" s="5" t="str">
        <x:v>21:9</x:v>
      </x:c>
      <x:c r="F84" s="5" t="str"/>
      <x:c r="G84" s="5" t="str"/>
      <x:c r="H84" s="5" t="str">
        <x:v>Без исходного файла</x:v>
      </x:c>
      <x:c r="I84" s="6" t="n">
        <x:v>7.15</x:v>
      </x:c>
      <x:c r="J84" s="6" t="n">
        <x:v>7.15</x:v>
      </x:c>
      <x:c r="K84" s="5" t="str">
        <x:v>Точная цена в редакторе</x:v>
      </x:c>
      <x:c r="L84" s="5" t="str">
        <x:v>изображение</x:v>
      </x:c>
      <x:c r="M84" s="7" t="n">
        <x:f>IF(J84="","",ROUND(J84*Tariffs!$D$5,2))</x:f>
        <x:v>5.95</x:v>
      </x:c>
      <x:c r="N84" s="7" t="n">
        <x:f>IF(J84="","",ROUND(J84*Tariffs!$D$6,2))</x:f>
        <x:v>5.95</x:v>
      </x:c>
      <x:c r="O84" s="7" t="n">
        <x:f>IF(J84="","",ROUND(J84*Tariffs!$D$7,2))</x:f>
        <x:v>5.96</x:v>
      </x:c>
      <x:c r="P84" s="5" t="str">
        <x:v>https://neuromia.ru/app/images/seedream</x:v>
      </x:c>
      <x:c r="Q84" s="8" t="n">
        <x:v>46282.375</x:v>
      </x:c>
      <x:c r="R84" s="5" t="str">
        <x:v>Цена показана до генерации при пустом промпте.</x:v>
      </x:c>
    </x:row>
    <x:row r="85" ht="22" customHeight="1">
      <x:c r="A85" s="5" t="str">
        <x:v>Изображение</x:v>
      </x:c>
      <x:c r="B85" s="5" t="str">
        <x:v>Seedream 5.0 Lite</x:v>
      </x:c>
      <x:c r="C85" s="5" t="str">
        <x:v>Текст → изображение</x:v>
      </x:c>
      <x:c r="D85" s="5" t="str">
        <x:v>2K</x:v>
      </x:c>
      <x:c r="E85" s="5" t="str">
        <x:v>1:1</x:v>
      </x:c>
      <x:c r="F85" s="5" t="str"/>
      <x:c r="G85" s="5" t="str"/>
      <x:c r="H85" s="5" t="str">
        <x:v>Без исходного файла</x:v>
      </x:c>
      <x:c r="I85" s="6" t="n">
        <x:v>6.05</x:v>
      </x:c>
      <x:c r="J85" s="6" t="n">
        <x:v>6.05</x:v>
      </x:c>
      <x:c r="K85" s="5" t="str">
        <x:v>Точная цена в редакторе</x:v>
      </x:c>
      <x:c r="L85" s="5" t="str">
        <x:v>изображение</x:v>
      </x:c>
      <x:c r="M85" s="7" t="n">
        <x:f>IF(J85="","",ROUND(J85*Tariffs!$D$5,2))</x:f>
        <x:v>5.03</x:v>
      </x:c>
      <x:c r="N85" s="7" t="n">
        <x:f>IF(J85="","",ROUND(J85*Tariffs!$D$6,2))</x:f>
        <x:v>5.04</x:v>
      </x:c>
      <x:c r="O85" s="7" t="n">
        <x:f>IF(J85="","",ROUND(J85*Tariffs!$D$7,2))</x:f>
        <x:v>5.04</x:v>
      </x:c>
      <x:c r="P85" s="5" t="str">
        <x:v>https://neuromia.ru/app/images/seedream</x:v>
      </x:c>
      <x:c r="Q85" s="8" t="n">
        <x:v>46282.375</x:v>
      </x:c>
      <x:c r="R85" s="5" t="str">
        <x:v>Цена показана до генерации при пустом промпте.</x:v>
      </x:c>
    </x:row>
    <x:row r="86" ht="22" customHeight="1">
      <x:c r="A86" s="5" t="str">
        <x:v>Изображение</x:v>
      </x:c>
      <x:c r="B86" s="5" t="str">
        <x:v>Seedream 5.0 Lite</x:v>
      </x:c>
      <x:c r="C86" s="5" t="str">
        <x:v>Текст → изображение</x:v>
      </x:c>
      <x:c r="D86" s="5" t="str">
        <x:v>2K</x:v>
      </x:c>
      <x:c r="E86" s="5" t="str">
        <x:v>16:9</x:v>
      </x:c>
      <x:c r="F86" s="5" t="str"/>
      <x:c r="G86" s="5" t="str"/>
      <x:c r="H86" s="5" t="str">
        <x:v>Без исходного файла</x:v>
      </x:c>
      <x:c r="I86" s="6" t="n">
        <x:v>6.05</x:v>
      </x:c>
      <x:c r="J86" s="6" t="n">
        <x:v>6.05</x:v>
      </x:c>
      <x:c r="K86" s="5" t="str">
        <x:v>Точная цена в редакторе</x:v>
      </x:c>
      <x:c r="L86" s="5" t="str">
        <x:v>изображение</x:v>
      </x:c>
      <x:c r="M86" s="7" t="n">
        <x:f>IF(J86="","",ROUND(J86*Tariffs!$D$5,2))</x:f>
        <x:v>5.03</x:v>
      </x:c>
      <x:c r="N86" s="7" t="n">
        <x:f>IF(J86="","",ROUND(J86*Tariffs!$D$6,2))</x:f>
        <x:v>5.04</x:v>
      </x:c>
      <x:c r="O86" s="7" t="n">
        <x:f>IF(J86="","",ROUND(J86*Tariffs!$D$7,2))</x:f>
        <x:v>5.04</x:v>
      </x:c>
      <x:c r="P86" s="5" t="str">
        <x:v>https://neuromia.ru/app/images/seedream</x:v>
      </x:c>
      <x:c r="Q86" s="8" t="n">
        <x:v>46282.375</x:v>
      </x:c>
      <x:c r="R86" s="5" t="str">
        <x:v>Цена показана до генерации при пустом промпте.</x:v>
      </x:c>
    </x:row>
    <x:row r="87" ht="22" customHeight="1">
      <x:c r="A87" s="5" t="str">
        <x:v>Изображение</x:v>
      </x:c>
      <x:c r="B87" s="5" t="str">
        <x:v>Seedream 5.0 Lite</x:v>
      </x:c>
      <x:c r="C87" s="5" t="str">
        <x:v>Текст → изображение</x:v>
      </x:c>
      <x:c r="D87" s="5" t="str">
        <x:v>2K</x:v>
      </x:c>
      <x:c r="E87" s="5" t="str">
        <x:v>9:16</x:v>
      </x:c>
      <x:c r="F87" s="5" t="str"/>
      <x:c r="G87" s="5" t="str"/>
      <x:c r="H87" s="5" t="str">
        <x:v>Без исходного файла</x:v>
      </x:c>
      <x:c r="I87" s="6" t="n">
        <x:v>6.05</x:v>
      </x:c>
      <x:c r="J87" s="6" t="n">
        <x:v>6.05</x:v>
      </x:c>
      <x:c r="K87" s="5" t="str">
        <x:v>Точная цена в редакторе</x:v>
      </x:c>
      <x:c r="L87" s="5" t="str">
        <x:v>изображение</x:v>
      </x:c>
      <x:c r="M87" s="7" t="n">
        <x:f>IF(J87="","",ROUND(J87*Tariffs!$D$5,2))</x:f>
        <x:v>5.03</x:v>
      </x:c>
      <x:c r="N87" s="7" t="n">
        <x:f>IF(J87="","",ROUND(J87*Tariffs!$D$6,2))</x:f>
        <x:v>5.04</x:v>
      </x:c>
      <x:c r="O87" s="7" t="n">
        <x:f>IF(J87="","",ROUND(J87*Tariffs!$D$7,2))</x:f>
        <x:v>5.04</x:v>
      </x:c>
      <x:c r="P87" s="5" t="str">
        <x:v>https://neuromia.ru/app/images/seedream</x:v>
      </x:c>
      <x:c r="Q87" s="8" t="n">
        <x:v>46282.375</x:v>
      </x:c>
      <x:c r="R87" s="5" t="str">
        <x:v>Цена показана до генерации при пустом промпте.</x:v>
      </x:c>
    </x:row>
    <x:row r="88" ht="22" customHeight="1">
      <x:c r="A88" s="5" t="str">
        <x:v>Изображение</x:v>
      </x:c>
      <x:c r="B88" s="5" t="str">
        <x:v>Seedream 5.0 Lite</x:v>
      </x:c>
      <x:c r="C88" s="5" t="str">
        <x:v>Текст → изображение</x:v>
      </x:c>
      <x:c r="D88" s="5" t="str">
        <x:v>2K</x:v>
      </x:c>
      <x:c r="E88" s="5" t="str">
        <x:v>4:3</x:v>
      </x:c>
      <x:c r="F88" s="5" t="str"/>
      <x:c r="G88" s="5" t="str"/>
      <x:c r="H88" s="5" t="str">
        <x:v>Без исходного файла</x:v>
      </x:c>
      <x:c r="I88" s="6" t="n">
        <x:v>6.05</x:v>
      </x:c>
      <x:c r="J88" s="6" t="n">
        <x:v>6.05</x:v>
      </x:c>
      <x:c r="K88" s="5" t="str">
        <x:v>Точная цена в редакторе</x:v>
      </x:c>
      <x:c r="L88" s="5" t="str">
        <x:v>изображение</x:v>
      </x:c>
      <x:c r="M88" s="7" t="n">
        <x:f>IF(J88="","",ROUND(J88*Tariffs!$D$5,2))</x:f>
        <x:v>5.03</x:v>
      </x:c>
      <x:c r="N88" s="7" t="n">
        <x:f>IF(J88="","",ROUND(J88*Tariffs!$D$6,2))</x:f>
        <x:v>5.04</x:v>
      </x:c>
      <x:c r="O88" s="7" t="n">
        <x:f>IF(J88="","",ROUND(J88*Tariffs!$D$7,2))</x:f>
        <x:v>5.04</x:v>
      </x:c>
      <x:c r="P88" s="5" t="str">
        <x:v>https://neuromia.ru/app/images/seedream</x:v>
      </x:c>
      <x:c r="Q88" s="8" t="n">
        <x:v>46282.375</x:v>
      </x:c>
      <x:c r="R88" s="5" t="str">
        <x:v>Цена показана до генерации при пустом промпте.</x:v>
      </x:c>
    </x:row>
    <x:row r="89" ht="22" customHeight="1">
      <x:c r="A89" s="5" t="str">
        <x:v>Изображение</x:v>
      </x:c>
      <x:c r="B89" s="5" t="str">
        <x:v>Seedream 5.0 Lite</x:v>
      </x:c>
      <x:c r="C89" s="5" t="str">
        <x:v>Текст → изображение</x:v>
      </x:c>
      <x:c r="D89" s="5" t="str">
        <x:v>2K</x:v>
      </x:c>
      <x:c r="E89" s="5" t="str">
        <x:v>3:4</x:v>
      </x:c>
      <x:c r="F89" s="5" t="str"/>
      <x:c r="G89" s="5" t="str"/>
      <x:c r="H89" s="5" t="str">
        <x:v>Без исходного файла</x:v>
      </x:c>
      <x:c r="I89" s="6" t="n">
        <x:v>6.05</x:v>
      </x:c>
      <x:c r="J89" s="6" t="n">
        <x:v>6.05</x:v>
      </x:c>
      <x:c r="K89" s="5" t="str">
        <x:v>Точная цена в редакторе</x:v>
      </x:c>
      <x:c r="L89" s="5" t="str">
        <x:v>изображение</x:v>
      </x:c>
      <x:c r="M89" s="7" t="n">
        <x:f>IF(J89="","",ROUND(J89*Tariffs!$D$5,2))</x:f>
        <x:v>5.03</x:v>
      </x:c>
      <x:c r="N89" s="7" t="n">
        <x:f>IF(J89="","",ROUND(J89*Tariffs!$D$6,2))</x:f>
        <x:v>5.04</x:v>
      </x:c>
      <x:c r="O89" s="7" t="n">
        <x:f>IF(J89="","",ROUND(J89*Tariffs!$D$7,2))</x:f>
        <x:v>5.04</x:v>
      </x:c>
      <x:c r="P89" s="5" t="str">
        <x:v>https://neuromia.ru/app/images/seedream</x:v>
      </x:c>
      <x:c r="Q89" s="8" t="n">
        <x:v>46282.375</x:v>
      </x:c>
      <x:c r="R89" s="5" t="str">
        <x:v>Цена показана до генерации при пустом промпте.</x:v>
      </x:c>
    </x:row>
    <x:row r="90" ht="22" customHeight="1">
      <x:c r="A90" s="5" t="str">
        <x:v>Изображение</x:v>
      </x:c>
      <x:c r="B90" s="5" t="str">
        <x:v>Seedream 5.0 Lite</x:v>
      </x:c>
      <x:c r="C90" s="5" t="str">
        <x:v>Текст → изображение</x:v>
      </x:c>
      <x:c r="D90" s="5" t="str">
        <x:v>2K</x:v>
      </x:c>
      <x:c r="E90" s="5" t="str">
        <x:v>3:2</x:v>
      </x:c>
      <x:c r="F90" s="5" t="str"/>
      <x:c r="G90" s="5" t="str"/>
      <x:c r="H90" s="5" t="str">
        <x:v>Без исходного файла</x:v>
      </x:c>
      <x:c r="I90" s="6" t="n">
        <x:v>6.05</x:v>
      </x:c>
      <x:c r="J90" s="6" t="n">
        <x:v>6.05</x:v>
      </x:c>
      <x:c r="K90" s="5" t="str">
        <x:v>Точная цена в редакторе</x:v>
      </x:c>
      <x:c r="L90" s="5" t="str">
        <x:v>изображение</x:v>
      </x:c>
      <x:c r="M90" s="7" t="n">
        <x:f>IF(J90="","",ROUND(J90*Tariffs!$D$5,2))</x:f>
        <x:v>5.03</x:v>
      </x:c>
      <x:c r="N90" s="7" t="n">
        <x:f>IF(J90="","",ROUND(J90*Tariffs!$D$6,2))</x:f>
        <x:v>5.04</x:v>
      </x:c>
      <x:c r="O90" s="7" t="n">
        <x:f>IF(J90="","",ROUND(J90*Tariffs!$D$7,2))</x:f>
        <x:v>5.04</x:v>
      </x:c>
      <x:c r="P90" s="5" t="str">
        <x:v>https://neuromia.ru/app/images/seedream</x:v>
      </x:c>
      <x:c r="Q90" s="8" t="n">
        <x:v>46282.375</x:v>
      </x:c>
      <x:c r="R90" s="5" t="str">
        <x:v>Цена показана до генерации при пустом промпте.</x:v>
      </x:c>
    </x:row>
    <x:row r="91" ht="22" customHeight="1">
      <x:c r="A91" s="5" t="str">
        <x:v>Изображение</x:v>
      </x:c>
      <x:c r="B91" s="5" t="str">
        <x:v>Seedream 5.0 Lite</x:v>
      </x:c>
      <x:c r="C91" s="5" t="str">
        <x:v>Текст → изображение</x:v>
      </x:c>
      <x:c r="D91" s="5" t="str">
        <x:v>2K</x:v>
      </x:c>
      <x:c r="E91" s="5" t="str">
        <x:v>2:3</x:v>
      </x:c>
      <x:c r="F91" s="5" t="str"/>
      <x:c r="G91" s="5" t="str"/>
      <x:c r="H91" s="5" t="str">
        <x:v>Без исходного файла</x:v>
      </x:c>
      <x:c r="I91" s="6" t="n">
        <x:v>6.05</x:v>
      </x:c>
      <x:c r="J91" s="6" t="n">
        <x:v>6.05</x:v>
      </x:c>
      <x:c r="K91" s="5" t="str">
        <x:v>Точная цена в редакторе</x:v>
      </x:c>
      <x:c r="L91" s="5" t="str">
        <x:v>изображение</x:v>
      </x:c>
      <x:c r="M91" s="7" t="n">
        <x:f>IF(J91="","",ROUND(J91*Tariffs!$D$5,2))</x:f>
        <x:v>5.03</x:v>
      </x:c>
      <x:c r="N91" s="7" t="n">
        <x:f>IF(J91="","",ROUND(J91*Tariffs!$D$6,2))</x:f>
        <x:v>5.04</x:v>
      </x:c>
      <x:c r="O91" s="7" t="n">
        <x:f>IF(J91="","",ROUND(J91*Tariffs!$D$7,2))</x:f>
        <x:v>5.04</x:v>
      </x:c>
      <x:c r="P91" s="5" t="str">
        <x:v>https://neuromia.ru/app/images/seedream</x:v>
      </x:c>
      <x:c r="Q91" s="8" t="n">
        <x:v>46282.375</x:v>
      </x:c>
      <x:c r="R91" s="5" t="str">
        <x:v>Цена показана до генерации при пустом промпте.</x:v>
      </x:c>
    </x:row>
    <x:row r="92" ht="22" customHeight="1">
      <x:c r="A92" s="5" t="str">
        <x:v>Изображение</x:v>
      </x:c>
      <x:c r="B92" s="5" t="str">
        <x:v>Seedream 5.0 Lite</x:v>
      </x:c>
      <x:c r="C92" s="5" t="str">
        <x:v>Текст → изображение</x:v>
      </x:c>
      <x:c r="D92" s="5" t="str">
        <x:v>2K</x:v>
      </x:c>
      <x:c r="E92" s="5" t="str">
        <x:v>21:9</x:v>
      </x:c>
      <x:c r="F92" s="5" t="str"/>
      <x:c r="G92" s="5" t="str"/>
      <x:c r="H92" s="5" t="str">
        <x:v>Без исходного файла</x:v>
      </x:c>
      <x:c r="I92" s="6" t="n">
        <x:v>6.05</x:v>
      </x:c>
      <x:c r="J92" s="6" t="n">
        <x:v>6.05</x:v>
      </x:c>
      <x:c r="K92" s="5" t="str">
        <x:v>Точная цена в редакторе</x:v>
      </x:c>
      <x:c r="L92" s="5" t="str">
        <x:v>изображение</x:v>
      </x:c>
      <x:c r="M92" s="7" t="n">
        <x:f>IF(J92="","",ROUND(J92*Tariffs!$D$5,2))</x:f>
        <x:v>5.03</x:v>
      </x:c>
      <x:c r="N92" s="7" t="n">
        <x:f>IF(J92="","",ROUND(J92*Tariffs!$D$6,2))</x:f>
        <x:v>5.04</x:v>
      </x:c>
      <x:c r="O92" s="7" t="n">
        <x:f>IF(J92="","",ROUND(J92*Tariffs!$D$7,2))</x:f>
        <x:v>5.04</x:v>
      </x:c>
      <x:c r="P92" s="5" t="str">
        <x:v>https://neuromia.ru/app/images/seedream</x:v>
      </x:c>
      <x:c r="Q92" s="8" t="n">
        <x:v>46282.375</x:v>
      </x:c>
      <x:c r="R92" s="5" t="str">
        <x:v>Цена показана до генерации при пустом промпте.</x:v>
      </x:c>
    </x:row>
    <x:row r="93" ht="22" customHeight="1">
      <x:c r="A93" s="5" t="str">
        <x:v>Изображение</x:v>
      </x:c>
      <x:c r="B93" s="5" t="str">
        <x:v>Seedream 5.0 Lite</x:v>
      </x:c>
      <x:c r="C93" s="5" t="str">
        <x:v>Текст → изображение</x:v>
      </x:c>
      <x:c r="D93" s="5" t="str">
        <x:v>4K</x:v>
      </x:c>
      <x:c r="E93" s="5" t="str">
        <x:v>1:1</x:v>
      </x:c>
      <x:c r="F93" s="5" t="str"/>
      <x:c r="G93" s="5" t="str"/>
      <x:c r="H93" s="5" t="str">
        <x:v>Без исходного файла</x:v>
      </x:c>
      <x:c r="I93" s="6" t="n">
        <x:v>6.05</x:v>
      </x:c>
      <x:c r="J93" s="6" t="n">
        <x:v>6.05</x:v>
      </x:c>
      <x:c r="K93" s="5" t="str">
        <x:v>Точная цена в редакторе</x:v>
      </x:c>
      <x:c r="L93" s="5" t="str">
        <x:v>изображение</x:v>
      </x:c>
      <x:c r="M93" s="7" t="n">
        <x:f>IF(J93="","",ROUND(J93*Tariffs!$D$5,2))</x:f>
        <x:v>5.03</x:v>
      </x:c>
      <x:c r="N93" s="7" t="n">
        <x:f>IF(J93="","",ROUND(J93*Tariffs!$D$6,2))</x:f>
        <x:v>5.04</x:v>
      </x:c>
      <x:c r="O93" s="7" t="n">
        <x:f>IF(J93="","",ROUND(J93*Tariffs!$D$7,2))</x:f>
        <x:v>5.04</x:v>
      </x:c>
      <x:c r="P93" s="5" t="str">
        <x:v>https://neuromia.ru/app/images/seedream</x:v>
      </x:c>
      <x:c r="Q93" s="8" t="n">
        <x:v>46282.375</x:v>
      </x:c>
      <x:c r="R93" s="5" t="str">
        <x:v>Цена показана до генерации при пустом промпте.</x:v>
      </x:c>
    </x:row>
    <x:row r="94" ht="22" customHeight="1">
      <x:c r="A94" s="5" t="str">
        <x:v>Изображение</x:v>
      </x:c>
      <x:c r="B94" s="5" t="str">
        <x:v>Seedream 5.0 Lite</x:v>
      </x:c>
      <x:c r="C94" s="5" t="str">
        <x:v>Текст → изображение</x:v>
      </x:c>
      <x:c r="D94" s="5" t="str">
        <x:v>4K</x:v>
      </x:c>
      <x:c r="E94" s="5" t="str">
        <x:v>16:9</x:v>
      </x:c>
      <x:c r="F94" s="5" t="str"/>
      <x:c r="G94" s="5" t="str"/>
      <x:c r="H94" s="5" t="str">
        <x:v>Без исходного файла</x:v>
      </x:c>
      <x:c r="I94" s="6" t="n">
        <x:v>6.05</x:v>
      </x:c>
      <x:c r="J94" s="6" t="n">
        <x:v>6.05</x:v>
      </x:c>
      <x:c r="K94" s="5" t="str">
        <x:v>Точная цена в редакторе</x:v>
      </x:c>
      <x:c r="L94" s="5" t="str">
        <x:v>изображение</x:v>
      </x:c>
      <x:c r="M94" s="7" t="n">
        <x:f>IF(J94="","",ROUND(J94*Tariffs!$D$5,2))</x:f>
        <x:v>5.03</x:v>
      </x:c>
      <x:c r="N94" s="7" t="n">
        <x:f>IF(J94="","",ROUND(J94*Tariffs!$D$6,2))</x:f>
        <x:v>5.04</x:v>
      </x:c>
      <x:c r="O94" s="7" t="n">
        <x:f>IF(J94="","",ROUND(J94*Tariffs!$D$7,2))</x:f>
        <x:v>5.04</x:v>
      </x:c>
      <x:c r="P94" s="5" t="str">
        <x:v>https://neuromia.ru/app/images/seedream</x:v>
      </x:c>
      <x:c r="Q94" s="8" t="n">
        <x:v>46282.375</x:v>
      </x:c>
      <x:c r="R94" s="5" t="str">
        <x:v>Цена показана до генерации при пустом промпте.</x:v>
      </x:c>
    </x:row>
    <x:row r="95" ht="22" customHeight="1">
      <x:c r="A95" s="5" t="str">
        <x:v>Изображение</x:v>
      </x:c>
      <x:c r="B95" s="5" t="str">
        <x:v>Seedream 5.0 Lite</x:v>
      </x:c>
      <x:c r="C95" s="5" t="str">
        <x:v>Текст → изображение</x:v>
      </x:c>
      <x:c r="D95" s="5" t="str">
        <x:v>4K</x:v>
      </x:c>
      <x:c r="E95" s="5" t="str">
        <x:v>9:16</x:v>
      </x:c>
      <x:c r="F95" s="5" t="str"/>
      <x:c r="G95" s="5" t="str"/>
      <x:c r="H95" s="5" t="str">
        <x:v>Без исходного файла</x:v>
      </x:c>
      <x:c r="I95" s="6" t="n">
        <x:v>6.05</x:v>
      </x:c>
      <x:c r="J95" s="6" t="n">
        <x:v>6.05</x:v>
      </x:c>
      <x:c r="K95" s="5" t="str">
        <x:v>Точная цена в редакторе</x:v>
      </x:c>
      <x:c r="L95" s="5" t="str">
        <x:v>изображение</x:v>
      </x:c>
      <x:c r="M95" s="7" t="n">
        <x:f>IF(J95="","",ROUND(J95*Tariffs!$D$5,2))</x:f>
        <x:v>5.03</x:v>
      </x:c>
      <x:c r="N95" s="7" t="n">
        <x:f>IF(J95="","",ROUND(J95*Tariffs!$D$6,2))</x:f>
        <x:v>5.04</x:v>
      </x:c>
      <x:c r="O95" s="7" t="n">
        <x:f>IF(J95="","",ROUND(J95*Tariffs!$D$7,2))</x:f>
        <x:v>5.04</x:v>
      </x:c>
      <x:c r="P95" s="5" t="str">
        <x:v>https://neuromia.ru/app/images/seedream</x:v>
      </x:c>
      <x:c r="Q95" s="8" t="n">
        <x:v>46282.375</x:v>
      </x:c>
      <x:c r="R95" s="5" t="str">
        <x:v>Цена показана до генерации при пустом промпте.</x:v>
      </x:c>
    </x:row>
    <x:row r="96" ht="22" customHeight="1">
      <x:c r="A96" s="5" t="str">
        <x:v>Изображение</x:v>
      </x:c>
      <x:c r="B96" s="5" t="str">
        <x:v>Seedream 5.0 Lite</x:v>
      </x:c>
      <x:c r="C96" s="5" t="str">
        <x:v>Текст → изображение</x:v>
      </x:c>
      <x:c r="D96" s="5" t="str">
        <x:v>4K</x:v>
      </x:c>
      <x:c r="E96" s="5" t="str">
        <x:v>4:3</x:v>
      </x:c>
      <x:c r="F96" s="5" t="str"/>
      <x:c r="G96" s="5" t="str"/>
      <x:c r="H96" s="5" t="str">
        <x:v>Без исходного файла</x:v>
      </x:c>
      <x:c r="I96" s="6" t="n">
        <x:v>6.05</x:v>
      </x:c>
      <x:c r="J96" s="6" t="n">
        <x:v>6.05</x:v>
      </x:c>
      <x:c r="K96" s="5" t="str">
        <x:v>Точная цена в редакторе</x:v>
      </x:c>
      <x:c r="L96" s="5" t="str">
        <x:v>изображение</x:v>
      </x:c>
      <x:c r="M96" s="7" t="n">
        <x:f>IF(J96="","",ROUND(J96*Tariffs!$D$5,2))</x:f>
        <x:v>5.03</x:v>
      </x:c>
      <x:c r="N96" s="7" t="n">
        <x:f>IF(J96="","",ROUND(J96*Tariffs!$D$6,2))</x:f>
        <x:v>5.04</x:v>
      </x:c>
      <x:c r="O96" s="7" t="n">
        <x:f>IF(J96="","",ROUND(J96*Tariffs!$D$7,2))</x:f>
        <x:v>5.04</x:v>
      </x:c>
      <x:c r="P96" s="5" t="str">
        <x:v>https://neuromia.ru/app/images/seedream</x:v>
      </x:c>
      <x:c r="Q96" s="8" t="n">
        <x:v>46282.375</x:v>
      </x:c>
      <x:c r="R96" s="5" t="str">
        <x:v>Цена показана до генерации при пустом промпте.</x:v>
      </x:c>
    </x:row>
    <x:row r="97" ht="22" customHeight="1">
      <x:c r="A97" s="5" t="str">
        <x:v>Изображение</x:v>
      </x:c>
      <x:c r="B97" s="5" t="str">
        <x:v>Seedream 5.0 Lite</x:v>
      </x:c>
      <x:c r="C97" s="5" t="str">
        <x:v>Текст → изображение</x:v>
      </x:c>
      <x:c r="D97" s="5" t="str">
        <x:v>4K</x:v>
      </x:c>
      <x:c r="E97" s="5" t="str">
        <x:v>3:4</x:v>
      </x:c>
      <x:c r="F97" s="5" t="str"/>
      <x:c r="G97" s="5" t="str"/>
      <x:c r="H97" s="5" t="str">
        <x:v>Без исходного файла</x:v>
      </x:c>
      <x:c r="I97" s="6" t="n">
        <x:v>6.05</x:v>
      </x:c>
      <x:c r="J97" s="6" t="n">
        <x:v>6.05</x:v>
      </x:c>
      <x:c r="K97" s="5" t="str">
        <x:v>Точная цена в редакторе</x:v>
      </x:c>
      <x:c r="L97" s="5" t="str">
        <x:v>изображение</x:v>
      </x:c>
      <x:c r="M97" s="7" t="n">
        <x:f>IF(J97="","",ROUND(J97*Tariffs!$D$5,2))</x:f>
        <x:v>5.03</x:v>
      </x:c>
      <x:c r="N97" s="7" t="n">
        <x:f>IF(J97="","",ROUND(J97*Tariffs!$D$6,2))</x:f>
        <x:v>5.04</x:v>
      </x:c>
      <x:c r="O97" s="7" t="n">
        <x:f>IF(J97="","",ROUND(J97*Tariffs!$D$7,2))</x:f>
        <x:v>5.04</x:v>
      </x:c>
      <x:c r="P97" s="5" t="str">
        <x:v>https://neuromia.ru/app/images/seedream</x:v>
      </x:c>
      <x:c r="Q97" s="8" t="n">
        <x:v>46282.375</x:v>
      </x:c>
      <x:c r="R97" s="5" t="str">
        <x:v>Цена показана до генерации при пустом промпте.</x:v>
      </x:c>
    </x:row>
    <x:row r="98" ht="22" customHeight="1">
      <x:c r="A98" s="5" t="str">
        <x:v>Изображение</x:v>
      </x:c>
      <x:c r="B98" s="5" t="str">
        <x:v>Seedream 5.0 Lite</x:v>
      </x:c>
      <x:c r="C98" s="5" t="str">
        <x:v>Текст → изображение</x:v>
      </x:c>
      <x:c r="D98" s="5" t="str">
        <x:v>4K</x:v>
      </x:c>
      <x:c r="E98" s="5" t="str">
        <x:v>3:2</x:v>
      </x:c>
      <x:c r="F98" s="5" t="str"/>
      <x:c r="G98" s="5" t="str"/>
      <x:c r="H98" s="5" t="str">
        <x:v>Без исходного файла</x:v>
      </x:c>
      <x:c r="I98" s="6" t="n">
        <x:v>6.05</x:v>
      </x:c>
      <x:c r="J98" s="6" t="n">
        <x:v>6.05</x:v>
      </x:c>
      <x:c r="K98" s="5" t="str">
        <x:v>Точная цена в редакторе</x:v>
      </x:c>
      <x:c r="L98" s="5" t="str">
        <x:v>изображение</x:v>
      </x:c>
      <x:c r="M98" s="7" t="n">
        <x:f>IF(J98="","",ROUND(J98*Tariffs!$D$5,2))</x:f>
        <x:v>5.03</x:v>
      </x:c>
      <x:c r="N98" s="7" t="n">
        <x:f>IF(J98="","",ROUND(J98*Tariffs!$D$6,2))</x:f>
        <x:v>5.04</x:v>
      </x:c>
      <x:c r="O98" s="7" t="n">
        <x:f>IF(J98="","",ROUND(J98*Tariffs!$D$7,2))</x:f>
        <x:v>5.04</x:v>
      </x:c>
      <x:c r="P98" s="5" t="str">
        <x:v>https://neuromia.ru/app/images/seedream</x:v>
      </x:c>
      <x:c r="Q98" s="8" t="n">
        <x:v>46282.375</x:v>
      </x:c>
      <x:c r="R98" s="5" t="str">
        <x:v>Цена показана до генерации при пустом промпте.</x:v>
      </x:c>
    </x:row>
    <x:row r="99" ht="22" customHeight="1">
      <x:c r="A99" s="5" t="str">
        <x:v>Изображение</x:v>
      </x:c>
      <x:c r="B99" s="5" t="str">
        <x:v>Seedream 5.0 Lite</x:v>
      </x:c>
      <x:c r="C99" s="5" t="str">
        <x:v>Текст → изображение</x:v>
      </x:c>
      <x:c r="D99" s="5" t="str">
        <x:v>4K</x:v>
      </x:c>
      <x:c r="E99" s="5" t="str">
        <x:v>2:3</x:v>
      </x:c>
      <x:c r="F99" s="5" t="str"/>
      <x:c r="G99" s="5" t="str"/>
      <x:c r="H99" s="5" t="str">
        <x:v>Без исходного файла</x:v>
      </x:c>
      <x:c r="I99" s="6" t="n">
        <x:v>6.05</x:v>
      </x:c>
      <x:c r="J99" s="6" t="n">
        <x:v>6.05</x:v>
      </x:c>
      <x:c r="K99" s="5" t="str">
        <x:v>Точная цена в редакторе</x:v>
      </x:c>
      <x:c r="L99" s="5" t="str">
        <x:v>изображение</x:v>
      </x:c>
      <x:c r="M99" s="7" t="n">
        <x:f>IF(J99="","",ROUND(J99*Tariffs!$D$5,2))</x:f>
        <x:v>5.03</x:v>
      </x:c>
      <x:c r="N99" s="7" t="n">
        <x:f>IF(J99="","",ROUND(J99*Tariffs!$D$6,2))</x:f>
        <x:v>5.04</x:v>
      </x:c>
      <x:c r="O99" s="7" t="n">
        <x:f>IF(J99="","",ROUND(J99*Tariffs!$D$7,2))</x:f>
        <x:v>5.04</x:v>
      </x:c>
      <x:c r="P99" s="5" t="str">
        <x:v>https://neuromia.ru/app/images/seedream</x:v>
      </x:c>
      <x:c r="Q99" s="8" t="n">
        <x:v>46282.375</x:v>
      </x:c>
      <x:c r="R99" s="5" t="str">
        <x:v>Цена показана до генерации при пустом промпте.</x:v>
      </x:c>
    </x:row>
    <x:row r="100" ht="22" customHeight="1">
      <x:c r="A100" s="5" t="str">
        <x:v>Изображение</x:v>
      </x:c>
      <x:c r="B100" s="5" t="str">
        <x:v>Seedream 5.0 Lite</x:v>
      </x:c>
      <x:c r="C100" s="5" t="str">
        <x:v>Текст → изображение</x:v>
      </x:c>
      <x:c r="D100" s="5" t="str">
        <x:v>4K</x:v>
      </x:c>
      <x:c r="E100" s="5" t="str">
        <x:v>21:9</x:v>
      </x:c>
      <x:c r="F100" s="5" t="str"/>
      <x:c r="G100" s="5" t="str"/>
      <x:c r="H100" s="5" t="str">
        <x:v>Без исходного файла</x:v>
      </x:c>
      <x:c r="I100" s="6" t="n">
        <x:v>6.05</x:v>
      </x:c>
      <x:c r="J100" s="6" t="n">
        <x:v>6.05</x:v>
      </x:c>
      <x:c r="K100" s="5" t="str">
        <x:v>Точная цена в редакторе</x:v>
      </x:c>
      <x:c r="L100" s="5" t="str">
        <x:v>изображение</x:v>
      </x:c>
      <x:c r="M100" s="7" t="n">
        <x:f>IF(J100="","",ROUND(J100*Tariffs!$D$5,2))</x:f>
        <x:v>5.03</x:v>
      </x:c>
      <x:c r="N100" s="7" t="n">
        <x:f>IF(J100="","",ROUND(J100*Tariffs!$D$6,2))</x:f>
        <x:v>5.04</x:v>
      </x:c>
      <x:c r="O100" s="7" t="n">
        <x:f>IF(J100="","",ROUND(J100*Tariffs!$D$7,2))</x:f>
        <x:v>5.04</x:v>
      </x:c>
      <x:c r="P100" s="5" t="str">
        <x:v>https://neuromia.ru/app/images/seedream</x:v>
      </x:c>
      <x:c r="Q100" s="8" t="n">
        <x:v>46282.375</x:v>
      </x:c>
      <x:c r="R100" s="5" t="str">
        <x:v>Цена показана до генерации при пустом промпте.</x:v>
      </x:c>
    </x:row>
    <x:row r="101" ht="22" customHeight="1">
      <x:c r="A101" s="5" t="str">
        <x:v>Изображение</x:v>
      </x:c>
      <x:c r="B101" s="5" t="str">
        <x:v>Seedream 5.0 Pro</x:v>
      </x:c>
      <x:c r="C101" s="5" t="str">
        <x:v>Текст → изображение</x:v>
      </x:c>
      <x:c r="D101" s="5" t="str">
        <x:v>1K</x:v>
      </x:c>
      <x:c r="E101" s="5" t="str">
        <x:v>1:1</x:v>
      </x:c>
      <x:c r="F101" s="5" t="str"/>
      <x:c r="G101" s="5" t="str"/>
      <x:c r="H101" s="5" t="str">
        <x:v>Без исходного файла</x:v>
      </x:c>
      <x:c r="I101" s="6" t="n">
        <x:v>7.7</x:v>
      </x:c>
      <x:c r="J101" s="6" t="n">
        <x:v>7.7</x:v>
      </x:c>
      <x:c r="K101" s="5" t="str">
        <x:v>Точная цена в редакторе</x:v>
      </x:c>
      <x:c r="L101" s="5" t="str">
        <x:v>изображение</x:v>
      </x:c>
      <x:c r="M101" s="7" t="n">
        <x:f>IF(J101="","",ROUND(J101*Tariffs!$D$5,2))</x:f>
        <x:v>6.4</x:v>
      </x:c>
      <x:c r="N101" s="7" t="n">
        <x:f>IF(J101="","",ROUND(J101*Tariffs!$D$6,2))</x:f>
        <x:v>6.41</x:v>
      </x:c>
      <x:c r="O101" s="7" t="n">
        <x:f>IF(J101="","",ROUND(J101*Tariffs!$D$7,2))</x:f>
        <x:v>6.42</x:v>
      </x:c>
      <x:c r="P101" s="5" t="str">
        <x:v>https://neuromia.ru/app/images/seedream</x:v>
      </x:c>
      <x:c r="Q101" s="8" t="n">
        <x:v>46282.375</x:v>
      </x:c>
      <x:c r="R101" s="5" t="str">
        <x:v>Цена показана до генерации при пустом промпте.</x:v>
      </x:c>
    </x:row>
    <x:row r="102" ht="22" customHeight="1">
      <x:c r="A102" s="5" t="str">
        <x:v>Изображение</x:v>
      </x:c>
      <x:c r="B102" s="5" t="str">
        <x:v>Seedream 5.0 Pro</x:v>
      </x:c>
      <x:c r="C102" s="5" t="str">
        <x:v>Текст → изображение</x:v>
      </x:c>
      <x:c r="D102" s="5" t="str">
        <x:v>1K</x:v>
      </x:c>
      <x:c r="E102" s="5" t="str">
        <x:v>16:9</x:v>
      </x:c>
      <x:c r="F102" s="5" t="str"/>
      <x:c r="G102" s="5" t="str"/>
      <x:c r="H102" s="5" t="str">
        <x:v>Без исходного файла</x:v>
      </x:c>
      <x:c r="I102" s="6" t="n">
        <x:v>7.7</x:v>
      </x:c>
      <x:c r="J102" s="6" t="n">
        <x:v>7.7</x:v>
      </x:c>
      <x:c r="K102" s="5" t="str">
        <x:v>Точная цена в редакторе</x:v>
      </x:c>
      <x:c r="L102" s="5" t="str">
        <x:v>изображение</x:v>
      </x:c>
      <x:c r="M102" s="7" t="n">
        <x:f>IF(J102="","",ROUND(J102*Tariffs!$D$5,2))</x:f>
        <x:v>6.4</x:v>
      </x:c>
      <x:c r="N102" s="7" t="n">
        <x:f>IF(J102="","",ROUND(J102*Tariffs!$D$6,2))</x:f>
        <x:v>6.41</x:v>
      </x:c>
      <x:c r="O102" s="7" t="n">
        <x:f>IF(J102="","",ROUND(J102*Tariffs!$D$7,2))</x:f>
        <x:v>6.42</x:v>
      </x:c>
      <x:c r="P102" s="5" t="str">
        <x:v>https://neuromia.ru/app/images/seedream</x:v>
      </x:c>
      <x:c r="Q102" s="8" t="n">
        <x:v>46282.375</x:v>
      </x:c>
      <x:c r="R102" s="5" t="str">
        <x:v>Цена показана до генерации при пустом промпте.</x:v>
      </x:c>
    </x:row>
    <x:row r="103" ht="22" customHeight="1">
      <x:c r="A103" s="5" t="str">
        <x:v>Изображение</x:v>
      </x:c>
      <x:c r="B103" s="5" t="str">
        <x:v>Seedream 5.0 Pro</x:v>
      </x:c>
      <x:c r="C103" s="5" t="str">
        <x:v>Текст → изображение</x:v>
      </x:c>
      <x:c r="D103" s="5" t="str">
        <x:v>1K</x:v>
      </x:c>
      <x:c r="E103" s="5" t="str">
        <x:v>9:16</x:v>
      </x:c>
      <x:c r="F103" s="5" t="str"/>
      <x:c r="G103" s="5" t="str"/>
      <x:c r="H103" s="5" t="str">
        <x:v>Без исходного файла</x:v>
      </x:c>
      <x:c r="I103" s="6" t="n">
        <x:v>7.7</x:v>
      </x:c>
      <x:c r="J103" s="6" t="n">
        <x:v>7.7</x:v>
      </x:c>
      <x:c r="K103" s="5" t="str">
        <x:v>Точная цена в редакторе</x:v>
      </x:c>
      <x:c r="L103" s="5" t="str">
        <x:v>изображение</x:v>
      </x:c>
      <x:c r="M103" s="7" t="n">
        <x:f>IF(J103="","",ROUND(J103*Tariffs!$D$5,2))</x:f>
        <x:v>6.4</x:v>
      </x:c>
      <x:c r="N103" s="7" t="n">
        <x:f>IF(J103="","",ROUND(J103*Tariffs!$D$6,2))</x:f>
        <x:v>6.41</x:v>
      </x:c>
      <x:c r="O103" s="7" t="n">
        <x:f>IF(J103="","",ROUND(J103*Tariffs!$D$7,2))</x:f>
        <x:v>6.42</x:v>
      </x:c>
      <x:c r="P103" s="5" t="str">
        <x:v>https://neuromia.ru/app/images/seedream</x:v>
      </x:c>
      <x:c r="Q103" s="8" t="n">
        <x:v>46282.375</x:v>
      </x:c>
      <x:c r="R103" s="5" t="str">
        <x:v>Цена показана до генерации при пустом промпте.</x:v>
      </x:c>
    </x:row>
    <x:row r="104" ht="22" customHeight="1">
      <x:c r="A104" s="5" t="str">
        <x:v>Изображение</x:v>
      </x:c>
      <x:c r="B104" s="5" t="str">
        <x:v>Seedream 5.0 Pro</x:v>
      </x:c>
      <x:c r="C104" s="5" t="str">
        <x:v>Текст → изображение</x:v>
      </x:c>
      <x:c r="D104" s="5" t="str">
        <x:v>1K</x:v>
      </x:c>
      <x:c r="E104" s="5" t="str">
        <x:v>4:3</x:v>
      </x:c>
      <x:c r="F104" s="5" t="str"/>
      <x:c r="G104" s="5" t="str"/>
      <x:c r="H104" s="5" t="str">
        <x:v>Без исходного файла</x:v>
      </x:c>
      <x:c r="I104" s="6" t="n">
        <x:v>7.7</x:v>
      </x:c>
      <x:c r="J104" s="6" t="n">
        <x:v>7.7</x:v>
      </x:c>
      <x:c r="K104" s="5" t="str">
        <x:v>Точная цена в редакторе</x:v>
      </x:c>
      <x:c r="L104" s="5" t="str">
        <x:v>изображение</x:v>
      </x:c>
      <x:c r="M104" s="7" t="n">
        <x:f>IF(J104="","",ROUND(J104*Tariffs!$D$5,2))</x:f>
        <x:v>6.4</x:v>
      </x:c>
      <x:c r="N104" s="7" t="n">
        <x:f>IF(J104="","",ROUND(J104*Tariffs!$D$6,2))</x:f>
        <x:v>6.41</x:v>
      </x:c>
      <x:c r="O104" s="7" t="n">
        <x:f>IF(J104="","",ROUND(J104*Tariffs!$D$7,2))</x:f>
        <x:v>6.42</x:v>
      </x:c>
      <x:c r="P104" s="5" t="str">
        <x:v>https://neuromia.ru/app/images/seedream</x:v>
      </x:c>
      <x:c r="Q104" s="8" t="n">
        <x:v>46282.375</x:v>
      </x:c>
      <x:c r="R104" s="5" t="str">
        <x:v>Цена показана до генерации при пустом промпте.</x:v>
      </x:c>
    </x:row>
    <x:row r="105" ht="22" customHeight="1">
      <x:c r="A105" s="5" t="str">
        <x:v>Изображение</x:v>
      </x:c>
      <x:c r="B105" s="5" t="str">
        <x:v>Seedream 5.0 Pro</x:v>
      </x:c>
      <x:c r="C105" s="5" t="str">
        <x:v>Текст → изображение</x:v>
      </x:c>
      <x:c r="D105" s="5" t="str">
        <x:v>1K</x:v>
      </x:c>
      <x:c r="E105" s="5" t="str">
        <x:v>3:4</x:v>
      </x:c>
      <x:c r="F105" s="5" t="str"/>
      <x:c r="G105" s="5" t="str"/>
      <x:c r="H105" s="5" t="str">
        <x:v>Без исходного файла</x:v>
      </x:c>
      <x:c r="I105" s="6" t="n">
        <x:v>7.7</x:v>
      </x:c>
      <x:c r="J105" s="6" t="n">
        <x:v>7.7</x:v>
      </x:c>
      <x:c r="K105" s="5" t="str">
        <x:v>Точная цена в редакторе</x:v>
      </x:c>
      <x:c r="L105" s="5" t="str">
        <x:v>изображение</x:v>
      </x:c>
      <x:c r="M105" s="7" t="n">
        <x:f>IF(J105="","",ROUND(J105*Tariffs!$D$5,2))</x:f>
        <x:v>6.4</x:v>
      </x:c>
      <x:c r="N105" s="7" t="n">
        <x:f>IF(J105="","",ROUND(J105*Tariffs!$D$6,2))</x:f>
        <x:v>6.41</x:v>
      </x:c>
      <x:c r="O105" s="7" t="n">
        <x:f>IF(J105="","",ROUND(J105*Tariffs!$D$7,2))</x:f>
        <x:v>6.42</x:v>
      </x:c>
      <x:c r="P105" s="5" t="str">
        <x:v>https://neuromia.ru/app/images/seedream</x:v>
      </x:c>
      <x:c r="Q105" s="8" t="n">
        <x:v>46282.375</x:v>
      </x:c>
      <x:c r="R105" s="5" t="str">
        <x:v>Цена показана до генерации при пустом промпте.</x:v>
      </x:c>
    </x:row>
    <x:row r="106" ht="22" customHeight="1">
      <x:c r="A106" s="5" t="str">
        <x:v>Изображение</x:v>
      </x:c>
      <x:c r="B106" s="5" t="str">
        <x:v>Seedream 5.0 Pro</x:v>
      </x:c>
      <x:c r="C106" s="5" t="str">
        <x:v>Текст → изображение</x:v>
      </x:c>
      <x:c r="D106" s="5" t="str">
        <x:v>1K</x:v>
      </x:c>
      <x:c r="E106" s="5" t="str">
        <x:v>3:2</x:v>
      </x:c>
      <x:c r="F106" s="5" t="str"/>
      <x:c r="G106" s="5" t="str"/>
      <x:c r="H106" s="5" t="str">
        <x:v>Без исходного файла</x:v>
      </x:c>
      <x:c r="I106" s="6" t="n">
        <x:v>7.7</x:v>
      </x:c>
      <x:c r="J106" s="6" t="n">
        <x:v>7.7</x:v>
      </x:c>
      <x:c r="K106" s="5" t="str">
        <x:v>Точная цена в редакторе</x:v>
      </x:c>
      <x:c r="L106" s="5" t="str">
        <x:v>изображение</x:v>
      </x:c>
      <x:c r="M106" s="7" t="n">
        <x:f>IF(J106="","",ROUND(J106*Tariffs!$D$5,2))</x:f>
        <x:v>6.4</x:v>
      </x:c>
      <x:c r="N106" s="7" t="n">
        <x:f>IF(J106="","",ROUND(J106*Tariffs!$D$6,2))</x:f>
        <x:v>6.41</x:v>
      </x:c>
      <x:c r="O106" s="7" t="n">
        <x:f>IF(J106="","",ROUND(J106*Tariffs!$D$7,2))</x:f>
        <x:v>6.42</x:v>
      </x:c>
      <x:c r="P106" s="5" t="str">
        <x:v>https://neuromia.ru/app/images/seedream</x:v>
      </x:c>
      <x:c r="Q106" s="8" t="n">
        <x:v>46282.375</x:v>
      </x:c>
      <x:c r="R106" s="5" t="str">
        <x:v>Цена показана до генерации при пустом промпте.</x:v>
      </x:c>
    </x:row>
    <x:row r="107" ht="22" customHeight="1">
      <x:c r="A107" s="5" t="str">
        <x:v>Изображение</x:v>
      </x:c>
      <x:c r="B107" s="5" t="str">
        <x:v>Seedream 5.0 Pro</x:v>
      </x:c>
      <x:c r="C107" s="5" t="str">
        <x:v>Текст → изображение</x:v>
      </x:c>
      <x:c r="D107" s="5" t="str">
        <x:v>1K</x:v>
      </x:c>
      <x:c r="E107" s="5" t="str">
        <x:v>2:3</x:v>
      </x:c>
      <x:c r="F107" s="5" t="str"/>
      <x:c r="G107" s="5" t="str"/>
      <x:c r="H107" s="5" t="str">
        <x:v>Без исходного файла</x:v>
      </x:c>
      <x:c r="I107" s="6" t="n">
        <x:v>7.7</x:v>
      </x:c>
      <x:c r="J107" s="6" t="n">
        <x:v>7.7</x:v>
      </x:c>
      <x:c r="K107" s="5" t="str">
        <x:v>Точная цена в редакторе</x:v>
      </x:c>
      <x:c r="L107" s="5" t="str">
        <x:v>изображение</x:v>
      </x:c>
      <x:c r="M107" s="7" t="n">
        <x:f>IF(J107="","",ROUND(J107*Tariffs!$D$5,2))</x:f>
        <x:v>6.4</x:v>
      </x:c>
      <x:c r="N107" s="7" t="n">
        <x:f>IF(J107="","",ROUND(J107*Tariffs!$D$6,2))</x:f>
        <x:v>6.41</x:v>
      </x:c>
      <x:c r="O107" s="7" t="n">
        <x:f>IF(J107="","",ROUND(J107*Tariffs!$D$7,2))</x:f>
        <x:v>6.42</x:v>
      </x:c>
      <x:c r="P107" s="5" t="str">
        <x:v>https://neuromia.ru/app/images/seedream</x:v>
      </x:c>
      <x:c r="Q107" s="8" t="n">
        <x:v>46282.375</x:v>
      </x:c>
      <x:c r="R107" s="5" t="str">
        <x:v>Цена показана до генерации при пустом промпте.</x:v>
      </x:c>
    </x:row>
    <x:row r="108" ht="22" customHeight="1">
      <x:c r="A108" s="5" t="str">
        <x:v>Изображение</x:v>
      </x:c>
      <x:c r="B108" s="5" t="str">
        <x:v>Seedream 5.0 Pro</x:v>
      </x:c>
      <x:c r="C108" s="5" t="str">
        <x:v>Текст → изображение</x:v>
      </x:c>
      <x:c r="D108" s="5" t="str">
        <x:v>2K</x:v>
      </x:c>
      <x:c r="E108" s="5" t="str">
        <x:v>1:1</x:v>
      </x:c>
      <x:c r="F108" s="5" t="str"/>
      <x:c r="G108" s="5" t="str"/>
      <x:c r="H108" s="5" t="str">
        <x:v>Без исходного файла</x:v>
      </x:c>
      <x:c r="I108" s="6" t="n">
        <x:v>15.4</x:v>
      </x:c>
      <x:c r="J108" s="6" t="n">
        <x:v>15.4</x:v>
      </x:c>
      <x:c r="K108" s="5" t="str">
        <x:v>Точная цена в редакторе</x:v>
      </x:c>
      <x:c r="L108" s="5" t="str">
        <x:v>изображение</x:v>
      </x:c>
      <x:c r="M108" s="7" t="n">
        <x:f>IF(J108="","",ROUND(J108*Tariffs!$D$5,2))</x:f>
        <x:v>12.81</x:v>
      </x:c>
      <x:c r="N108" s="7" t="n">
        <x:f>IF(J108="","",ROUND(J108*Tariffs!$D$6,2))</x:f>
        <x:v>12.82</x:v>
      </x:c>
      <x:c r="O108" s="7" t="n">
        <x:f>IF(J108="","",ROUND(J108*Tariffs!$D$7,2))</x:f>
        <x:v>12.83</x:v>
      </x:c>
      <x:c r="P108" s="5" t="str">
        <x:v>https://neuromia.ru/app/images/seedream</x:v>
      </x:c>
      <x:c r="Q108" s="8" t="n">
        <x:v>46282.375</x:v>
      </x:c>
      <x:c r="R108" s="5" t="str">
        <x:v>Цена показана до генерации при пустом промпте.</x:v>
      </x:c>
    </x:row>
    <x:row r="109" ht="22" customHeight="1">
      <x:c r="A109" s="5" t="str">
        <x:v>Изображение</x:v>
      </x:c>
      <x:c r="B109" s="5" t="str">
        <x:v>Seedream 5.0 Pro</x:v>
      </x:c>
      <x:c r="C109" s="5" t="str">
        <x:v>Текст → изображение</x:v>
      </x:c>
      <x:c r="D109" s="5" t="str">
        <x:v>2K</x:v>
      </x:c>
      <x:c r="E109" s="5" t="str">
        <x:v>4:3</x:v>
      </x:c>
      <x:c r="F109" s="5" t="str"/>
      <x:c r="G109" s="5" t="str"/>
      <x:c r="H109" s="5" t="str">
        <x:v>Без исходного файла</x:v>
      </x:c>
      <x:c r="I109" s="6" t="n">
        <x:v>15.4</x:v>
      </x:c>
      <x:c r="J109" s="6" t="n">
        <x:v>15.4</x:v>
      </x:c>
      <x:c r="K109" s="5" t="str">
        <x:v>Точная цена в редакторе</x:v>
      </x:c>
      <x:c r="L109" s="5" t="str">
        <x:v>изображение</x:v>
      </x:c>
      <x:c r="M109" s="7" t="n">
        <x:f>IF(J109="","",ROUND(J109*Tariffs!$D$5,2))</x:f>
        <x:v>12.81</x:v>
      </x:c>
      <x:c r="N109" s="7" t="n">
        <x:f>IF(J109="","",ROUND(J109*Tariffs!$D$6,2))</x:f>
        <x:v>12.82</x:v>
      </x:c>
      <x:c r="O109" s="7" t="n">
        <x:f>IF(J109="","",ROUND(J109*Tariffs!$D$7,2))</x:f>
        <x:v>12.83</x:v>
      </x:c>
      <x:c r="P109" s="5" t="str">
        <x:v>https://neuromia.ru/app/images/seedream</x:v>
      </x:c>
      <x:c r="Q109" s="8" t="n">
        <x:v>46282.375</x:v>
      </x:c>
      <x:c r="R109" s="5" t="str">
        <x:v>Цена показана до генерации при пустом промпте.</x:v>
      </x:c>
    </x:row>
    <x:row r="110" ht="22" customHeight="1">
      <x:c r="A110" s="5" t="str">
        <x:v>Изображение</x:v>
      </x:c>
      <x:c r="B110" s="5" t="str">
        <x:v>Seedream 5.0 Pro</x:v>
      </x:c>
      <x:c r="C110" s="5" t="str">
        <x:v>Текст → изображение</x:v>
      </x:c>
      <x:c r="D110" s="5" t="str">
        <x:v>2K</x:v>
      </x:c>
      <x:c r="E110" s="5" t="str">
        <x:v>3:4</x:v>
      </x:c>
      <x:c r="F110" s="5" t="str"/>
      <x:c r="G110" s="5" t="str"/>
      <x:c r="H110" s="5" t="str">
        <x:v>Без исходного файла</x:v>
      </x:c>
      <x:c r="I110" s="6" t="n">
        <x:v>15.4</x:v>
      </x:c>
      <x:c r="J110" s="6" t="n">
        <x:v>15.4</x:v>
      </x:c>
      <x:c r="K110" s="5" t="str">
        <x:v>Точная цена в редакторе</x:v>
      </x:c>
      <x:c r="L110" s="5" t="str">
        <x:v>изображение</x:v>
      </x:c>
      <x:c r="M110" s="7" t="n">
        <x:f>IF(J110="","",ROUND(J110*Tariffs!$D$5,2))</x:f>
        <x:v>12.81</x:v>
      </x:c>
      <x:c r="N110" s="7" t="n">
        <x:f>IF(J110="","",ROUND(J110*Tariffs!$D$6,2))</x:f>
        <x:v>12.82</x:v>
      </x:c>
      <x:c r="O110" s="7" t="n">
        <x:f>IF(J110="","",ROUND(J110*Tariffs!$D$7,2))</x:f>
        <x:v>12.83</x:v>
      </x:c>
      <x:c r="P110" s="5" t="str">
        <x:v>https://neuromia.ru/app/images/seedream</x:v>
      </x:c>
      <x:c r="Q110" s="8" t="n">
        <x:v>46282.375</x:v>
      </x:c>
      <x:c r="R110" s="5" t="str">
        <x:v>Цена показана до генерации при пустом промпте.</x:v>
      </x:c>
    </x:row>
    <x:row r="111" ht="22" customHeight="1">
      <x:c r="A111" s="5" t="str">
        <x:v>Изображение</x:v>
      </x:c>
      <x:c r="B111" s="5" t="str">
        <x:v>Seedream 5.0 Pro</x:v>
      </x:c>
      <x:c r="C111" s="5" t="str">
        <x:v>Текст → изображение</x:v>
      </x:c>
      <x:c r="D111" s="5" t="str">
        <x:v>2K</x:v>
      </x:c>
      <x:c r="E111" s="5" t="str">
        <x:v>3:2</x:v>
      </x:c>
      <x:c r="F111" s="5" t="str"/>
      <x:c r="G111" s="5" t="str"/>
      <x:c r="H111" s="5" t="str">
        <x:v>Без исходного файла</x:v>
      </x:c>
      <x:c r="I111" s="6" t="n">
        <x:v>15.4</x:v>
      </x:c>
      <x:c r="J111" s="6" t="n">
        <x:v>15.4</x:v>
      </x:c>
      <x:c r="K111" s="5" t="str">
        <x:v>Точная цена в редакторе</x:v>
      </x:c>
      <x:c r="L111" s="5" t="str">
        <x:v>изображение</x:v>
      </x:c>
      <x:c r="M111" s="7" t="n">
        <x:f>IF(J111="","",ROUND(J111*Tariffs!$D$5,2))</x:f>
        <x:v>12.81</x:v>
      </x:c>
      <x:c r="N111" s="7" t="n">
        <x:f>IF(J111="","",ROUND(J111*Tariffs!$D$6,2))</x:f>
        <x:v>12.82</x:v>
      </x:c>
      <x:c r="O111" s="7" t="n">
        <x:f>IF(J111="","",ROUND(J111*Tariffs!$D$7,2))</x:f>
        <x:v>12.83</x:v>
      </x:c>
      <x:c r="P111" s="5" t="str">
        <x:v>https://neuromia.ru/app/images/seedream</x:v>
      </x:c>
      <x:c r="Q111" s="8" t="n">
        <x:v>46282.375</x:v>
      </x:c>
      <x:c r="R111" s="5" t="str">
        <x:v>Цена показана до генерации при пустом промпте.</x:v>
      </x:c>
    </x:row>
    <x:row r="112" ht="22" customHeight="1">
      <x:c r="A112" s="5" t="str">
        <x:v>Изображение</x:v>
      </x:c>
      <x:c r="B112" s="5" t="str">
        <x:v>Seedream 5.0 Pro</x:v>
      </x:c>
      <x:c r="C112" s="5" t="str">
        <x:v>Текст → изображение</x:v>
      </x:c>
      <x:c r="D112" s="5" t="str">
        <x:v>2K</x:v>
      </x:c>
      <x:c r="E112" s="5" t="str">
        <x:v>2:3</x:v>
      </x:c>
      <x:c r="F112" s="5" t="str"/>
      <x:c r="G112" s="5" t="str"/>
      <x:c r="H112" s="5" t="str">
        <x:v>Без исходного файла</x:v>
      </x:c>
      <x:c r="I112" s="6" t="n">
        <x:v>15.4</x:v>
      </x:c>
      <x:c r="J112" s="6" t="n">
        <x:v>15.4</x:v>
      </x:c>
      <x:c r="K112" s="5" t="str">
        <x:v>Точная цена в редакторе</x:v>
      </x:c>
      <x:c r="L112" s="5" t="str">
        <x:v>изображение</x:v>
      </x:c>
      <x:c r="M112" s="7" t="n">
        <x:f>IF(J112="","",ROUND(J112*Tariffs!$D$5,2))</x:f>
        <x:v>12.81</x:v>
      </x:c>
      <x:c r="N112" s="7" t="n">
        <x:f>IF(J112="","",ROUND(J112*Tariffs!$D$6,2))</x:f>
        <x:v>12.82</x:v>
      </x:c>
      <x:c r="O112" s="7" t="n">
        <x:f>IF(J112="","",ROUND(J112*Tariffs!$D$7,2))</x:f>
        <x:v>12.83</x:v>
      </x:c>
      <x:c r="P112" s="5" t="str">
        <x:v>https://neuromia.ru/app/images/seedream</x:v>
      </x:c>
      <x:c r="Q112" s="8" t="n">
        <x:v>46282.375</x:v>
      </x:c>
      <x:c r="R112" s="5" t="str">
        <x:v>Цена показана до генерации при пустом промпте.</x:v>
      </x:c>
    </x:row>
    <x:row r="113" ht="22" customHeight="1">
      <x:c r="A113" s="5" t="str">
        <x:v>Изображение</x:v>
      </x:c>
      <x:c r="B113" s="5" t="str">
        <x:v>Flux Kontext</x:v>
      </x:c>
      <x:c r="C113" s="5" t="str">
        <x:v>Текст → изображение</x:v>
      </x:c>
      <x:c r="D113" s="5" t="str">
        <x:v>—</x:v>
      </x:c>
      <x:c r="E113" s="5" t="str">
        <x:v>1:1</x:v>
      </x:c>
      <x:c r="F113" s="5" t="str"/>
      <x:c r="G113" s="5" t="str"/>
      <x:c r="H113" s="5" t="str">
        <x:v>Без исходного файла</x:v>
      </x:c>
      <x:c r="I113" s="6" t="n">
        <x:v>5.5</x:v>
      </x:c>
      <x:c r="J113" s="6" t="n">
        <x:v>5.5</x:v>
      </x:c>
      <x:c r="K113" s="5" t="str">
        <x:v>Точная цена в редакторе</x:v>
      </x:c>
      <x:c r="L113" s="5" t="str">
        <x:v>изображение</x:v>
      </x:c>
      <x:c r="M113" s="7" t="n">
        <x:f>IF(J113="","",ROUND(J113*Tariffs!$D$5,2))</x:f>
        <x:v>4.57</x:v>
      </x:c>
      <x:c r="N113" s="7" t="n">
        <x:f>IF(J113="","",ROUND(J113*Tariffs!$D$6,2))</x:f>
        <x:v>4.58</x:v>
      </x:c>
      <x:c r="O113" s="7" t="n">
        <x:f>IF(J113="","",ROUND(J113*Tariffs!$D$7,2))</x:f>
        <x:v>4.58</x:v>
      </x:c>
      <x:c r="P113" s="5" t="str">
        <x:v>https://neuromia.ru/app/images/flux</x:v>
      </x:c>
      <x:c r="Q113" s="8" t="n">
        <x:v>46282.375</x:v>
      </x:c>
      <x:c r="R113" s="5" t="str">
        <x:v>Цена показана до генерации при пустом промпте.</x:v>
      </x:c>
    </x:row>
    <x:row r="114" ht="22" customHeight="1">
      <x:c r="A114" s="5" t="str">
        <x:v>Изображение</x:v>
      </x:c>
      <x:c r="B114" s="5" t="str">
        <x:v>Flux Kontext</x:v>
      </x:c>
      <x:c r="C114" s="5" t="str">
        <x:v>Текст → изображение</x:v>
      </x:c>
      <x:c r="D114" s="5" t="str">
        <x:v>—</x:v>
      </x:c>
      <x:c r="E114" s="5" t="str">
        <x:v>16:9</x:v>
      </x:c>
      <x:c r="F114" s="5" t="str"/>
      <x:c r="G114" s="5" t="str"/>
      <x:c r="H114" s="5" t="str">
        <x:v>Без исходного файла</x:v>
      </x:c>
      <x:c r="I114" s="6" t="n">
        <x:v>5.5</x:v>
      </x:c>
      <x:c r="J114" s="6" t="n">
        <x:v>5.5</x:v>
      </x:c>
      <x:c r="K114" s="5" t="str">
        <x:v>Точная цена в редакторе</x:v>
      </x:c>
      <x:c r="L114" s="5" t="str">
        <x:v>изображение</x:v>
      </x:c>
      <x:c r="M114" s="7" t="n">
        <x:f>IF(J114="","",ROUND(J114*Tariffs!$D$5,2))</x:f>
        <x:v>4.57</x:v>
      </x:c>
      <x:c r="N114" s="7" t="n">
        <x:f>IF(J114="","",ROUND(J114*Tariffs!$D$6,2))</x:f>
        <x:v>4.58</x:v>
      </x:c>
      <x:c r="O114" s="7" t="n">
        <x:f>IF(J114="","",ROUND(J114*Tariffs!$D$7,2))</x:f>
        <x:v>4.58</x:v>
      </x:c>
      <x:c r="P114" s="5" t="str">
        <x:v>https://neuromia.ru/app/images/flux</x:v>
      </x:c>
      <x:c r="Q114" s="8" t="n">
        <x:v>46282.375</x:v>
      </x:c>
      <x:c r="R114" s="5" t="str">
        <x:v>Цена показана до генерации при пустом промпте.</x:v>
      </x:c>
    </x:row>
    <x:row r="115" ht="22" customHeight="1">
      <x:c r="A115" s="5" t="str">
        <x:v>Изображение</x:v>
      </x:c>
      <x:c r="B115" s="5" t="str">
        <x:v>Flux Kontext</x:v>
      </x:c>
      <x:c r="C115" s="5" t="str">
        <x:v>Текст → изображение</x:v>
      </x:c>
      <x:c r="D115" s="5" t="str">
        <x:v>—</x:v>
      </x:c>
      <x:c r="E115" s="5" t="str">
        <x:v>9:16</x:v>
      </x:c>
      <x:c r="F115" s="5" t="str"/>
      <x:c r="G115" s="5" t="str"/>
      <x:c r="H115" s="5" t="str">
        <x:v>Без исходного файла</x:v>
      </x:c>
      <x:c r="I115" s="6" t="n">
        <x:v>5.5</x:v>
      </x:c>
      <x:c r="J115" s="6" t="n">
        <x:v>5.5</x:v>
      </x:c>
      <x:c r="K115" s="5" t="str">
        <x:v>Точная цена в редакторе</x:v>
      </x:c>
      <x:c r="L115" s="5" t="str">
        <x:v>изображение</x:v>
      </x:c>
      <x:c r="M115" s="7" t="n">
        <x:f>IF(J115="","",ROUND(J115*Tariffs!$D$5,2))</x:f>
        <x:v>4.57</x:v>
      </x:c>
      <x:c r="N115" s="7" t="n">
        <x:f>IF(J115="","",ROUND(J115*Tariffs!$D$6,2))</x:f>
        <x:v>4.58</x:v>
      </x:c>
      <x:c r="O115" s="7" t="n">
        <x:f>IF(J115="","",ROUND(J115*Tariffs!$D$7,2))</x:f>
        <x:v>4.58</x:v>
      </x:c>
      <x:c r="P115" s="5" t="str">
        <x:v>https://neuromia.ru/app/images/flux</x:v>
      </x:c>
      <x:c r="Q115" s="8" t="n">
        <x:v>46282.375</x:v>
      </x:c>
      <x:c r="R115" s="5" t="str">
        <x:v>Цена показана до генерации при пустом промпте.</x:v>
      </x:c>
    </x:row>
    <x:row r="116" ht="22" customHeight="1">
      <x:c r="A116" s="5" t="str">
        <x:v>Изображение</x:v>
      </x:c>
      <x:c r="B116" s="5" t="str">
        <x:v>Flux Kontext</x:v>
      </x:c>
      <x:c r="C116" s="5" t="str">
        <x:v>Текст → изображение</x:v>
      </x:c>
      <x:c r="D116" s="5" t="str">
        <x:v>—</x:v>
      </x:c>
      <x:c r="E116" s="5" t="str">
        <x:v>4:3</x:v>
      </x:c>
      <x:c r="F116" s="5" t="str"/>
      <x:c r="G116" s="5" t="str"/>
      <x:c r="H116" s="5" t="str">
        <x:v>Без исходного файла</x:v>
      </x:c>
      <x:c r="I116" s="6" t="n">
        <x:v>5.5</x:v>
      </x:c>
      <x:c r="J116" s="6" t="n">
        <x:v>5.5</x:v>
      </x:c>
      <x:c r="K116" s="5" t="str">
        <x:v>Точная цена в редакторе</x:v>
      </x:c>
      <x:c r="L116" s="5" t="str">
        <x:v>изображение</x:v>
      </x:c>
      <x:c r="M116" s="7" t="n">
        <x:f>IF(J116="","",ROUND(J116*Tariffs!$D$5,2))</x:f>
        <x:v>4.57</x:v>
      </x:c>
      <x:c r="N116" s="7" t="n">
        <x:f>IF(J116="","",ROUND(J116*Tariffs!$D$6,2))</x:f>
        <x:v>4.58</x:v>
      </x:c>
      <x:c r="O116" s="7" t="n">
        <x:f>IF(J116="","",ROUND(J116*Tariffs!$D$7,2))</x:f>
        <x:v>4.58</x:v>
      </x:c>
      <x:c r="P116" s="5" t="str">
        <x:v>https://neuromia.ru/app/images/flux</x:v>
      </x:c>
      <x:c r="Q116" s="8" t="n">
        <x:v>46282.375</x:v>
      </x:c>
      <x:c r="R116" s="5" t="str">
        <x:v>Цена показана до генерации при пустом промпте.</x:v>
      </x:c>
    </x:row>
    <x:row r="117" ht="22" customHeight="1">
      <x:c r="A117" s="5" t="str">
        <x:v>Изображение</x:v>
      </x:c>
      <x:c r="B117" s="5" t="str">
        <x:v>Flux Kontext</x:v>
      </x:c>
      <x:c r="C117" s="5" t="str">
        <x:v>Текст → изображение</x:v>
      </x:c>
      <x:c r="D117" s="5" t="str">
        <x:v>—</x:v>
      </x:c>
      <x:c r="E117" s="5" t="str">
        <x:v>3:4</x:v>
      </x:c>
      <x:c r="F117" s="5" t="str"/>
      <x:c r="G117" s="5" t="str"/>
      <x:c r="H117" s="5" t="str">
        <x:v>Без исходного файла</x:v>
      </x:c>
      <x:c r="I117" s="6" t="n">
        <x:v>5.5</x:v>
      </x:c>
      <x:c r="J117" s="6" t="n">
        <x:v>5.5</x:v>
      </x:c>
      <x:c r="K117" s="5" t="str">
        <x:v>Точная цена в редакторе</x:v>
      </x:c>
      <x:c r="L117" s="5" t="str">
        <x:v>изображение</x:v>
      </x:c>
      <x:c r="M117" s="7" t="n">
        <x:f>IF(J117="","",ROUND(J117*Tariffs!$D$5,2))</x:f>
        <x:v>4.57</x:v>
      </x:c>
      <x:c r="N117" s="7" t="n">
        <x:f>IF(J117="","",ROUND(J117*Tariffs!$D$6,2))</x:f>
        <x:v>4.58</x:v>
      </x:c>
      <x:c r="O117" s="7" t="n">
        <x:f>IF(J117="","",ROUND(J117*Tariffs!$D$7,2))</x:f>
        <x:v>4.58</x:v>
      </x:c>
      <x:c r="P117" s="5" t="str">
        <x:v>https://neuromia.ru/app/images/flux</x:v>
      </x:c>
      <x:c r="Q117" s="8" t="n">
        <x:v>46282.375</x:v>
      </x:c>
      <x:c r="R117" s="5" t="str">
        <x:v>Цена показана до генерации при пустом промпте.</x:v>
      </x:c>
    </x:row>
    <x:row r="118" ht="22" customHeight="1">
      <x:c r="A118" s="5" t="str">
        <x:v>Изображение</x:v>
      </x:c>
      <x:c r="B118" s="5" t="str">
        <x:v>Flux Kontext</x:v>
      </x:c>
      <x:c r="C118" s="5" t="str">
        <x:v>Текст → изображение</x:v>
      </x:c>
      <x:c r="D118" s="5" t="str">
        <x:v>—</x:v>
      </x:c>
      <x:c r="E118" s="5" t="str">
        <x:v>21:9</x:v>
      </x:c>
      <x:c r="F118" s="5" t="str"/>
      <x:c r="G118" s="5" t="str"/>
      <x:c r="H118" s="5" t="str">
        <x:v>Без исходного файла</x:v>
      </x:c>
      <x:c r="I118" s="6" t="n">
        <x:v>5.5</x:v>
      </x:c>
      <x:c r="J118" s="6" t="n">
        <x:v>5.5</x:v>
      </x:c>
      <x:c r="K118" s="5" t="str">
        <x:v>Точная цена в редакторе</x:v>
      </x:c>
      <x:c r="L118" s="5" t="str">
        <x:v>изображение</x:v>
      </x:c>
      <x:c r="M118" s="7" t="n">
        <x:f>IF(J118="","",ROUND(J118*Tariffs!$D$5,2))</x:f>
        <x:v>4.57</x:v>
      </x:c>
      <x:c r="N118" s="7" t="n">
        <x:f>IF(J118="","",ROUND(J118*Tariffs!$D$6,2))</x:f>
        <x:v>4.58</x:v>
      </x:c>
      <x:c r="O118" s="7" t="n">
        <x:f>IF(J118="","",ROUND(J118*Tariffs!$D$7,2))</x:f>
        <x:v>4.58</x:v>
      </x:c>
      <x:c r="P118" s="5" t="str">
        <x:v>https://neuromia.ru/app/images/flux</x:v>
      </x:c>
      <x:c r="Q118" s="8" t="n">
        <x:v>46282.375</x:v>
      </x:c>
      <x:c r="R118" s="5" t="str">
        <x:v>Цена показана до генерации при пустом промпте.</x:v>
      </x:c>
    </x:row>
    <x:row r="119" ht="22" customHeight="1">
      <x:c r="A119" s="5" t="str">
        <x:v>Изображение</x:v>
      </x:c>
      <x:c r="B119" s="5" t="str">
        <x:v>Flux 2 Pro</x:v>
      </x:c>
      <x:c r="C119" s="5" t="str">
        <x:v>Текст → изображение</x:v>
      </x:c>
      <x:c r="D119" s="5" t="str">
        <x:v>1K</x:v>
      </x:c>
      <x:c r="E119" s="5" t="str">
        <x:v>1:1</x:v>
      </x:c>
      <x:c r="F119" s="5" t="str"/>
      <x:c r="G119" s="5" t="str"/>
      <x:c r="H119" s="5" t="str">
        <x:v>Без исходного файла</x:v>
      </x:c>
      <x:c r="I119" s="6" t="n">
        <x:v>5.5</x:v>
      </x:c>
      <x:c r="J119" s="6" t="n">
        <x:v>5.5</x:v>
      </x:c>
      <x:c r="K119" s="5" t="str">
        <x:v>Точная цена в редакторе</x:v>
      </x:c>
      <x:c r="L119" s="5" t="str">
        <x:v>изображение</x:v>
      </x:c>
      <x:c r="M119" s="7" t="n">
        <x:f>IF(J119="","",ROUND(J119*Tariffs!$D$5,2))</x:f>
        <x:v>4.57</x:v>
      </x:c>
      <x:c r="N119" s="7" t="n">
        <x:f>IF(J119="","",ROUND(J119*Tariffs!$D$6,2))</x:f>
        <x:v>4.58</x:v>
      </x:c>
      <x:c r="O119" s="7" t="n">
        <x:f>IF(J119="","",ROUND(J119*Tariffs!$D$7,2))</x:f>
        <x:v>4.58</x:v>
      </x:c>
      <x:c r="P119" s="5" t="str">
        <x:v>https://neuromia.ru/app/images/flux</x:v>
      </x:c>
      <x:c r="Q119" s="8" t="n">
        <x:v>46282.375</x:v>
      </x:c>
      <x:c r="R119" s="5" t="str">
        <x:v>Цена показана до генерации при пустом промпте.</x:v>
      </x:c>
    </x:row>
    <x:row r="120" ht="22" customHeight="1">
      <x:c r="A120" s="5" t="str">
        <x:v>Изображение</x:v>
      </x:c>
      <x:c r="B120" s="5" t="str">
        <x:v>Flux 2 Pro</x:v>
      </x:c>
      <x:c r="C120" s="5" t="str">
        <x:v>Текст → изображение</x:v>
      </x:c>
      <x:c r="D120" s="5" t="str">
        <x:v>1K</x:v>
      </x:c>
      <x:c r="E120" s="5" t="str">
        <x:v>16:9</x:v>
      </x:c>
      <x:c r="F120" s="5" t="str"/>
      <x:c r="G120" s="5" t="str"/>
      <x:c r="H120" s="5" t="str">
        <x:v>Без исходного файла</x:v>
      </x:c>
      <x:c r="I120" s="6" t="n">
        <x:v>5.5</x:v>
      </x:c>
      <x:c r="J120" s="6" t="n">
        <x:v>5.5</x:v>
      </x:c>
      <x:c r="K120" s="5" t="str">
        <x:v>Точная цена в редакторе</x:v>
      </x:c>
      <x:c r="L120" s="5" t="str">
        <x:v>изображение</x:v>
      </x:c>
      <x:c r="M120" s="7" t="n">
        <x:f>IF(J120="","",ROUND(J120*Tariffs!$D$5,2))</x:f>
        <x:v>4.57</x:v>
      </x:c>
      <x:c r="N120" s="7" t="n">
        <x:f>IF(J120="","",ROUND(J120*Tariffs!$D$6,2))</x:f>
        <x:v>4.58</x:v>
      </x:c>
      <x:c r="O120" s="7" t="n">
        <x:f>IF(J120="","",ROUND(J120*Tariffs!$D$7,2))</x:f>
        <x:v>4.58</x:v>
      </x:c>
      <x:c r="P120" s="5" t="str">
        <x:v>https://neuromia.ru/app/images/flux</x:v>
      </x:c>
      <x:c r="Q120" s="8" t="n">
        <x:v>46282.375</x:v>
      </x:c>
      <x:c r="R120" s="5" t="str">
        <x:v>Цена показана до генерации при пустом промпте.</x:v>
      </x:c>
    </x:row>
    <x:row r="121" ht="22" customHeight="1">
      <x:c r="A121" s="5" t="str">
        <x:v>Изображение</x:v>
      </x:c>
      <x:c r="B121" s="5" t="str">
        <x:v>Flux 2 Pro</x:v>
      </x:c>
      <x:c r="C121" s="5" t="str">
        <x:v>Текст → изображение</x:v>
      </x:c>
      <x:c r="D121" s="5" t="str">
        <x:v>1K</x:v>
      </x:c>
      <x:c r="E121" s="5" t="str">
        <x:v>9:16</x:v>
      </x:c>
      <x:c r="F121" s="5" t="str"/>
      <x:c r="G121" s="5" t="str"/>
      <x:c r="H121" s="5" t="str">
        <x:v>Без исходного файла</x:v>
      </x:c>
      <x:c r="I121" s="6" t="n">
        <x:v>5.5</x:v>
      </x:c>
      <x:c r="J121" s="6" t="n">
        <x:v>5.5</x:v>
      </x:c>
      <x:c r="K121" s="5" t="str">
        <x:v>Точная цена в редакторе</x:v>
      </x:c>
      <x:c r="L121" s="5" t="str">
        <x:v>изображение</x:v>
      </x:c>
      <x:c r="M121" s="7" t="n">
        <x:f>IF(J121="","",ROUND(J121*Tariffs!$D$5,2))</x:f>
        <x:v>4.57</x:v>
      </x:c>
      <x:c r="N121" s="7" t="n">
        <x:f>IF(J121="","",ROUND(J121*Tariffs!$D$6,2))</x:f>
        <x:v>4.58</x:v>
      </x:c>
      <x:c r="O121" s="7" t="n">
        <x:f>IF(J121="","",ROUND(J121*Tariffs!$D$7,2))</x:f>
        <x:v>4.58</x:v>
      </x:c>
      <x:c r="P121" s="5" t="str">
        <x:v>https://neuromia.ru/app/images/flux</x:v>
      </x:c>
      <x:c r="Q121" s="8" t="n">
        <x:v>46282.375</x:v>
      </x:c>
      <x:c r="R121" s="5" t="str">
        <x:v>Цена показана до генерации при пустом промпте.</x:v>
      </x:c>
    </x:row>
    <x:row r="122" ht="22" customHeight="1">
      <x:c r="A122" s="5" t="str">
        <x:v>Изображение</x:v>
      </x:c>
      <x:c r="B122" s="5" t="str">
        <x:v>Flux 2 Pro</x:v>
      </x:c>
      <x:c r="C122" s="5" t="str">
        <x:v>Текст → изображение</x:v>
      </x:c>
      <x:c r="D122" s="5" t="str">
        <x:v>1K</x:v>
      </x:c>
      <x:c r="E122" s="5" t="str">
        <x:v>4:3</x:v>
      </x:c>
      <x:c r="F122" s="5" t="str"/>
      <x:c r="G122" s="5" t="str"/>
      <x:c r="H122" s="5" t="str">
        <x:v>Без исходного файла</x:v>
      </x:c>
      <x:c r="I122" s="6" t="n">
        <x:v>5.5</x:v>
      </x:c>
      <x:c r="J122" s="6" t="n">
        <x:v>5.5</x:v>
      </x:c>
      <x:c r="K122" s="5" t="str">
        <x:v>Точная цена в редакторе</x:v>
      </x:c>
      <x:c r="L122" s="5" t="str">
        <x:v>изображение</x:v>
      </x:c>
      <x:c r="M122" s="7" t="n">
        <x:f>IF(J122="","",ROUND(J122*Tariffs!$D$5,2))</x:f>
        <x:v>4.57</x:v>
      </x:c>
      <x:c r="N122" s="7" t="n">
        <x:f>IF(J122="","",ROUND(J122*Tariffs!$D$6,2))</x:f>
        <x:v>4.58</x:v>
      </x:c>
      <x:c r="O122" s="7" t="n">
        <x:f>IF(J122="","",ROUND(J122*Tariffs!$D$7,2))</x:f>
        <x:v>4.58</x:v>
      </x:c>
      <x:c r="P122" s="5" t="str">
        <x:v>https://neuromia.ru/app/images/flux</x:v>
      </x:c>
      <x:c r="Q122" s="8" t="n">
        <x:v>46282.375</x:v>
      </x:c>
      <x:c r="R122" s="5" t="str">
        <x:v>Цена показана до генерации при пустом промпте.</x:v>
      </x:c>
    </x:row>
    <x:row r="123" ht="22" customHeight="1">
      <x:c r="A123" s="5" t="str">
        <x:v>Изображение</x:v>
      </x:c>
      <x:c r="B123" s="5" t="str">
        <x:v>Flux 2 Pro</x:v>
      </x:c>
      <x:c r="C123" s="5" t="str">
        <x:v>Текст → изображение</x:v>
      </x:c>
      <x:c r="D123" s="5" t="str">
        <x:v>1K</x:v>
      </x:c>
      <x:c r="E123" s="5" t="str">
        <x:v>3:4</x:v>
      </x:c>
      <x:c r="F123" s="5" t="str"/>
      <x:c r="G123" s="5" t="str"/>
      <x:c r="H123" s="5" t="str">
        <x:v>Без исходного файла</x:v>
      </x:c>
      <x:c r="I123" s="6" t="n">
        <x:v>5.5</x:v>
      </x:c>
      <x:c r="J123" s="6" t="n">
        <x:v>5.5</x:v>
      </x:c>
      <x:c r="K123" s="5" t="str">
        <x:v>Точная цена в редакторе</x:v>
      </x:c>
      <x:c r="L123" s="5" t="str">
        <x:v>изображение</x:v>
      </x:c>
      <x:c r="M123" s="7" t="n">
        <x:f>IF(J123="","",ROUND(J123*Tariffs!$D$5,2))</x:f>
        <x:v>4.57</x:v>
      </x:c>
      <x:c r="N123" s="7" t="n">
        <x:f>IF(J123="","",ROUND(J123*Tariffs!$D$6,2))</x:f>
        <x:v>4.58</x:v>
      </x:c>
      <x:c r="O123" s="7" t="n">
        <x:f>IF(J123="","",ROUND(J123*Tariffs!$D$7,2))</x:f>
        <x:v>4.58</x:v>
      </x:c>
      <x:c r="P123" s="5" t="str">
        <x:v>https://neuromia.ru/app/images/flux</x:v>
      </x:c>
      <x:c r="Q123" s="8" t="n">
        <x:v>46282.375</x:v>
      </x:c>
      <x:c r="R123" s="5" t="str">
        <x:v>Цена показана до генерации при пустом промпте.</x:v>
      </x:c>
    </x:row>
    <x:row r="124" ht="22" customHeight="1">
      <x:c r="A124" s="5" t="str">
        <x:v>Изображение</x:v>
      </x:c>
      <x:c r="B124" s="5" t="str">
        <x:v>Flux 2 Pro</x:v>
      </x:c>
      <x:c r="C124" s="5" t="str">
        <x:v>Текст → изображение</x:v>
      </x:c>
      <x:c r="D124" s="5" t="str">
        <x:v>1K</x:v>
      </x:c>
      <x:c r="E124" s="5" t="str">
        <x:v>3:2</x:v>
      </x:c>
      <x:c r="F124" s="5" t="str"/>
      <x:c r="G124" s="5" t="str"/>
      <x:c r="H124" s="5" t="str">
        <x:v>Без исходного файла</x:v>
      </x:c>
      <x:c r="I124" s="6" t="n">
        <x:v>5.5</x:v>
      </x:c>
      <x:c r="J124" s="6" t="n">
        <x:v>5.5</x:v>
      </x:c>
      <x:c r="K124" s="5" t="str">
        <x:v>Точная цена в редакторе</x:v>
      </x:c>
      <x:c r="L124" s="5" t="str">
        <x:v>изображение</x:v>
      </x:c>
      <x:c r="M124" s="7" t="n">
        <x:f>IF(J124="","",ROUND(J124*Tariffs!$D$5,2))</x:f>
        <x:v>4.57</x:v>
      </x:c>
      <x:c r="N124" s="7" t="n">
        <x:f>IF(J124="","",ROUND(J124*Tariffs!$D$6,2))</x:f>
        <x:v>4.58</x:v>
      </x:c>
      <x:c r="O124" s="7" t="n">
        <x:f>IF(J124="","",ROUND(J124*Tariffs!$D$7,2))</x:f>
        <x:v>4.58</x:v>
      </x:c>
      <x:c r="P124" s="5" t="str">
        <x:v>https://neuromia.ru/app/images/flux</x:v>
      </x:c>
      <x:c r="Q124" s="8" t="n">
        <x:v>46282.375</x:v>
      </x:c>
      <x:c r="R124" s="5" t="str">
        <x:v>Цена показана до генерации при пустом промпте.</x:v>
      </x:c>
    </x:row>
    <x:row r="125" ht="22" customHeight="1">
      <x:c r="A125" s="5" t="str">
        <x:v>Изображение</x:v>
      </x:c>
      <x:c r="B125" s="5" t="str">
        <x:v>Flux 2 Pro</x:v>
      </x:c>
      <x:c r="C125" s="5" t="str">
        <x:v>Текст → изображение</x:v>
      </x:c>
      <x:c r="D125" s="5" t="str">
        <x:v>1K</x:v>
      </x:c>
      <x:c r="E125" s="5" t="str">
        <x:v>2:3</x:v>
      </x:c>
      <x:c r="F125" s="5" t="str"/>
      <x:c r="G125" s="5" t="str"/>
      <x:c r="H125" s="5" t="str">
        <x:v>Без исходного файла</x:v>
      </x:c>
      <x:c r="I125" s="6" t="n">
        <x:v>5.5</x:v>
      </x:c>
      <x:c r="J125" s="6" t="n">
        <x:v>5.5</x:v>
      </x:c>
      <x:c r="K125" s="5" t="str">
        <x:v>Точная цена в редакторе</x:v>
      </x:c>
      <x:c r="L125" s="5" t="str">
        <x:v>изображение</x:v>
      </x:c>
      <x:c r="M125" s="7" t="n">
        <x:f>IF(J125="","",ROUND(J125*Tariffs!$D$5,2))</x:f>
        <x:v>4.57</x:v>
      </x:c>
      <x:c r="N125" s="7" t="n">
        <x:f>IF(J125="","",ROUND(J125*Tariffs!$D$6,2))</x:f>
        <x:v>4.58</x:v>
      </x:c>
      <x:c r="O125" s="7" t="n">
        <x:f>IF(J125="","",ROUND(J125*Tariffs!$D$7,2))</x:f>
        <x:v>4.58</x:v>
      </x:c>
      <x:c r="P125" s="5" t="str">
        <x:v>https://neuromia.ru/app/images/flux</x:v>
      </x:c>
      <x:c r="Q125" s="8" t="n">
        <x:v>46282.375</x:v>
      </x:c>
      <x:c r="R125" s="5" t="str">
        <x:v>Цена показана до генерации при пустом промпте.</x:v>
      </x:c>
    </x:row>
    <x:row r="126" ht="22" customHeight="1">
      <x:c r="A126" s="5" t="str">
        <x:v>Изображение</x:v>
      </x:c>
      <x:c r="B126" s="5" t="str">
        <x:v>Flux 2 Pro</x:v>
      </x:c>
      <x:c r="C126" s="5" t="str">
        <x:v>Текст → изображение</x:v>
      </x:c>
      <x:c r="D126" s="5" t="str">
        <x:v>2K</x:v>
      </x:c>
      <x:c r="E126" s="5" t="str">
        <x:v>1:1</x:v>
      </x:c>
      <x:c r="F126" s="5" t="str"/>
      <x:c r="G126" s="5" t="str"/>
      <x:c r="H126" s="5" t="str">
        <x:v>Без исходного файла</x:v>
      </x:c>
      <x:c r="I126" s="6" t="n">
        <x:v>7.7</x:v>
      </x:c>
      <x:c r="J126" s="6" t="n">
        <x:v>7.7</x:v>
      </x:c>
      <x:c r="K126" s="5" t="str">
        <x:v>Точная цена в редакторе</x:v>
      </x:c>
      <x:c r="L126" s="5" t="str">
        <x:v>изображение</x:v>
      </x:c>
      <x:c r="M126" s="7" t="n">
        <x:f>IF(J126="","",ROUND(J126*Tariffs!$D$5,2))</x:f>
        <x:v>6.4</x:v>
      </x:c>
      <x:c r="N126" s="7" t="n">
        <x:f>IF(J126="","",ROUND(J126*Tariffs!$D$6,2))</x:f>
        <x:v>6.41</x:v>
      </x:c>
      <x:c r="O126" s="7" t="n">
        <x:f>IF(J126="","",ROUND(J126*Tariffs!$D$7,2))</x:f>
        <x:v>6.42</x:v>
      </x:c>
      <x:c r="P126" s="5" t="str">
        <x:v>https://neuromia.ru/app/images/flux</x:v>
      </x:c>
      <x:c r="Q126" s="8" t="n">
        <x:v>46282.375</x:v>
      </x:c>
      <x:c r="R126" s="5" t="str">
        <x:v>Цена показана до генерации при пустом промпте.</x:v>
      </x:c>
    </x:row>
    <x:row r="127" ht="22" customHeight="1">
      <x:c r="A127" s="5" t="str">
        <x:v>Изображение</x:v>
      </x:c>
      <x:c r="B127" s="5" t="str">
        <x:v>Flux 2 Pro</x:v>
      </x:c>
      <x:c r="C127" s="5" t="str">
        <x:v>Текст → изображение</x:v>
      </x:c>
      <x:c r="D127" s="5" t="str">
        <x:v>2K</x:v>
      </x:c>
      <x:c r="E127" s="5" t="str">
        <x:v>16:9</x:v>
      </x:c>
      <x:c r="F127" s="5" t="str"/>
      <x:c r="G127" s="5" t="str"/>
      <x:c r="H127" s="5" t="str">
        <x:v>Без исходного файла</x:v>
      </x:c>
      <x:c r="I127" s="6" t="n">
        <x:v>7.7</x:v>
      </x:c>
      <x:c r="J127" s="6" t="n">
        <x:v>7.7</x:v>
      </x:c>
      <x:c r="K127" s="5" t="str">
        <x:v>Точная цена в редакторе</x:v>
      </x:c>
      <x:c r="L127" s="5" t="str">
        <x:v>изображение</x:v>
      </x:c>
      <x:c r="M127" s="7" t="n">
        <x:f>IF(J127="","",ROUND(J127*Tariffs!$D$5,2))</x:f>
        <x:v>6.4</x:v>
      </x:c>
      <x:c r="N127" s="7" t="n">
        <x:f>IF(J127="","",ROUND(J127*Tariffs!$D$6,2))</x:f>
        <x:v>6.41</x:v>
      </x:c>
      <x:c r="O127" s="7" t="n">
        <x:f>IF(J127="","",ROUND(J127*Tariffs!$D$7,2))</x:f>
        <x:v>6.42</x:v>
      </x:c>
      <x:c r="P127" s="5" t="str">
        <x:v>https://neuromia.ru/app/images/flux</x:v>
      </x:c>
      <x:c r="Q127" s="8" t="n">
        <x:v>46282.375</x:v>
      </x:c>
      <x:c r="R127" s="5" t="str">
        <x:v>Цена показана до генерации при пустом промпте.</x:v>
      </x:c>
    </x:row>
    <x:row r="128" ht="22" customHeight="1">
      <x:c r="A128" s="5" t="str">
        <x:v>Изображение</x:v>
      </x:c>
      <x:c r="B128" s="5" t="str">
        <x:v>Flux 2 Pro</x:v>
      </x:c>
      <x:c r="C128" s="5" t="str">
        <x:v>Текст → изображение</x:v>
      </x:c>
      <x:c r="D128" s="5" t="str">
        <x:v>2K</x:v>
      </x:c>
      <x:c r="E128" s="5" t="str">
        <x:v>9:16</x:v>
      </x:c>
      <x:c r="F128" s="5" t="str"/>
      <x:c r="G128" s="5" t="str"/>
      <x:c r="H128" s="5" t="str">
        <x:v>Без исходного файла</x:v>
      </x:c>
      <x:c r="I128" s="6" t="n">
        <x:v>7.7</x:v>
      </x:c>
      <x:c r="J128" s="6" t="n">
        <x:v>7.7</x:v>
      </x:c>
      <x:c r="K128" s="5" t="str">
        <x:v>Точная цена в редакторе</x:v>
      </x:c>
      <x:c r="L128" s="5" t="str">
        <x:v>изображение</x:v>
      </x:c>
      <x:c r="M128" s="7" t="n">
        <x:f>IF(J128="","",ROUND(J128*Tariffs!$D$5,2))</x:f>
        <x:v>6.4</x:v>
      </x:c>
      <x:c r="N128" s="7" t="n">
        <x:f>IF(J128="","",ROUND(J128*Tariffs!$D$6,2))</x:f>
        <x:v>6.41</x:v>
      </x:c>
      <x:c r="O128" s="7" t="n">
        <x:f>IF(J128="","",ROUND(J128*Tariffs!$D$7,2))</x:f>
        <x:v>6.42</x:v>
      </x:c>
      <x:c r="P128" s="5" t="str">
        <x:v>https://neuromia.ru/app/images/flux</x:v>
      </x:c>
      <x:c r="Q128" s="8" t="n">
        <x:v>46282.375</x:v>
      </x:c>
      <x:c r="R128" s="5" t="str">
        <x:v>Цена показана до генерации при пустом промпте.</x:v>
      </x:c>
    </x:row>
    <x:row r="129" ht="22" customHeight="1">
      <x:c r="A129" s="5" t="str">
        <x:v>Изображение</x:v>
      </x:c>
      <x:c r="B129" s="5" t="str">
        <x:v>Flux 2 Pro</x:v>
      </x:c>
      <x:c r="C129" s="5" t="str">
        <x:v>Текст → изображение</x:v>
      </x:c>
      <x:c r="D129" s="5" t="str">
        <x:v>2K</x:v>
      </x:c>
      <x:c r="E129" s="5" t="str">
        <x:v>4:3</x:v>
      </x:c>
      <x:c r="F129" s="5" t="str"/>
      <x:c r="G129" s="5" t="str"/>
      <x:c r="H129" s="5" t="str">
        <x:v>Без исходного файла</x:v>
      </x:c>
      <x:c r="I129" s="6" t="n">
        <x:v>7.7</x:v>
      </x:c>
      <x:c r="J129" s="6" t="n">
        <x:v>7.7</x:v>
      </x:c>
      <x:c r="K129" s="5" t="str">
        <x:v>Точная цена в редакторе</x:v>
      </x:c>
      <x:c r="L129" s="5" t="str">
        <x:v>изображение</x:v>
      </x:c>
      <x:c r="M129" s="7" t="n">
        <x:f>IF(J129="","",ROUND(J129*Tariffs!$D$5,2))</x:f>
        <x:v>6.4</x:v>
      </x:c>
      <x:c r="N129" s="7" t="n">
        <x:f>IF(J129="","",ROUND(J129*Tariffs!$D$6,2))</x:f>
        <x:v>6.41</x:v>
      </x:c>
      <x:c r="O129" s="7" t="n">
        <x:f>IF(J129="","",ROUND(J129*Tariffs!$D$7,2))</x:f>
        <x:v>6.42</x:v>
      </x:c>
      <x:c r="P129" s="5" t="str">
        <x:v>https://neuromia.ru/app/images/flux</x:v>
      </x:c>
      <x:c r="Q129" s="8" t="n">
        <x:v>46282.375</x:v>
      </x:c>
      <x:c r="R129" s="5" t="str">
        <x:v>Цена показана до генерации при пустом промпте.</x:v>
      </x:c>
    </x:row>
    <x:row r="130" ht="22" customHeight="1">
      <x:c r="A130" s="5" t="str">
        <x:v>Изображение</x:v>
      </x:c>
      <x:c r="B130" s="5" t="str">
        <x:v>Flux 2 Pro</x:v>
      </x:c>
      <x:c r="C130" s="5" t="str">
        <x:v>Текст → изображение</x:v>
      </x:c>
      <x:c r="D130" s="5" t="str">
        <x:v>2K</x:v>
      </x:c>
      <x:c r="E130" s="5" t="str">
        <x:v>3:4</x:v>
      </x:c>
      <x:c r="F130" s="5" t="str"/>
      <x:c r="G130" s="5" t="str"/>
      <x:c r="H130" s="5" t="str">
        <x:v>Без исходного файла</x:v>
      </x:c>
      <x:c r="I130" s="6" t="n">
        <x:v>7.7</x:v>
      </x:c>
      <x:c r="J130" s="6" t="n">
        <x:v>7.7</x:v>
      </x:c>
      <x:c r="K130" s="5" t="str">
        <x:v>Точная цена в редакторе</x:v>
      </x:c>
      <x:c r="L130" s="5" t="str">
        <x:v>изображение</x:v>
      </x:c>
      <x:c r="M130" s="7" t="n">
        <x:f>IF(J130="","",ROUND(J130*Tariffs!$D$5,2))</x:f>
        <x:v>6.4</x:v>
      </x:c>
      <x:c r="N130" s="7" t="n">
        <x:f>IF(J130="","",ROUND(J130*Tariffs!$D$6,2))</x:f>
        <x:v>6.41</x:v>
      </x:c>
      <x:c r="O130" s="7" t="n">
        <x:f>IF(J130="","",ROUND(J130*Tariffs!$D$7,2))</x:f>
        <x:v>6.42</x:v>
      </x:c>
      <x:c r="P130" s="5" t="str">
        <x:v>https://neuromia.ru/app/images/flux</x:v>
      </x:c>
      <x:c r="Q130" s="8" t="n">
        <x:v>46282.375</x:v>
      </x:c>
      <x:c r="R130" s="5" t="str">
        <x:v>Цена показана до генерации при пустом промпте.</x:v>
      </x:c>
    </x:row>
    <x:row r="131" ht="22" customHeight="1">
      <x:c r="A131" s="5" t="str">
        <x:v>Изображение</x:v>
      </x:c>
      <x:c r="B131" s="5" t="str">
        <x:v>Flux 2 Pro</x:v>
      </x:c>
      <x:c r="C131" s="5" t="str">
        <x:v>Текст → изображение</x:v>
      </x:c>
      <x:c r="D131" s="5" t="str">
        <x:v>2K</x:v>
      </x:c>
      <x:c r="E131" s="5" t="str">
        <x:v>3:2</x:v>
      </x:c>
      <x:c r="F131" s="5" t="str"/>
      <x:c r="G131" s="5" t="str"/>
      <x:c r="H131" s="5" t="str">
        <x:v>Без исходного файла</x:v>
      </x:c>
      <x:c r="I131" s="6" t="n">
        <x:v>7.7</x:v>
      </x:c>
      <x:c r="J131" s="6" t="n">
        <x:v>7.7</x:v>
      </x:c>
      <x:c r="K131" s="5" t="str">
        <x:v>Точная цена в редакторе</x:v>
      </x:c>
      <x:c r="L131" s="5" t="str">
        <x:v>изображение</x:v>
      </x:c>
      <x:c r="M131" s="7" t="n">
        <x:f>IF(J131="","",ROUND(J131*Tariffs!$D$5,2))</x:f>
        <x:v>6.4</x:v>
      </x:c>
      <x:c r="N131" s="7" t="n">
        <x:f>IF(J131="","",ROUND(J131*Tariffs!$D$6,2))</x:f>
        <x:v>6.41</x:v>
      </x:c>
      <x:c r="O131" s="7" t="n">
        <x:f>IF(J131="","",ROUND(J131*Tariffs!$D$7,2))</x:f>
        <x:v>6.42</x:v>
      </x:c>
      <x:c r="P131" s="5" t="str">
        <x:v>https://neuromia.ru/app/images/flux</x:v>
      </x:c>
      <x:c r="Q131" s="8" t="n">
        <x:v>46282.375</x:v>
      </x:c>
      <x:c r="R131" s="5" t="str">
        <x:v>Цена показана до генерации при пустом промпте.</x:v>
      </x:c>
    </x:row>
    <x:row r="132" ht="22" customHeight="1">
      <x:c r="A132" s="5" t="str">
        <x:v>Изображение</x:v>
      </x:c>
      <x:c r="B132" s="5" t="str">
        <x:v>Flux 2 Pro</x:v>
      </x:c>
      <x:c r="C132" s="5" t="str">
        <x:v>Текст → изображение</x:v>
      </x:c>
      <x:c r="D132" s="5" t="str">
        <x:v>2K</x:v>
      </x:c>
      <x:c r="E132" s="5" t="str">
        <x:v>2:3</x:v>
      </x:c>
      <x:c r="F132" s="5" t="str"/>
      <x:c r="G132" s="5" t="str"/>
      <x:c r="H132" s="5" t="str">
        <x:v>Без исходного файла</x:v>
      </x:c>
      <x:c r="I132" s="6" t="n">
        <x:v>7.7</x:v>
      </x:c>
      <x:c r="J132" s="6" t="n">
        <x:v>7.7</x:v>
      </x:c>
      <x:c r="K132" s="5" t="str">
        <x:v>Точная цена в редакторе</x:v>
      </x:c>
      <x:c r="L132" s="5" t="str">
        <x:v>изображение</x:v>
      </x:c>
      <x:c r="M132" s="7" t="n">
        <x:f>IF(J132="","",ROUND(J132*Tariffs!$D$5,2))</x:f>
        <x:v>6.4</x:v>
      </x:c>
      <x:c r="N132" s="7" t="n">
        <x:f>IF(J132="","",ROUND(J132*Tariffs!$D$6,2))</x:f>
        <x:v>6.41</x:v>
      </x:c>
      <x:c r="O132" s="7" t="n">
        <x:f>IF(J132="","",ROUND(J132*Tariffs!$D$7,2))</x:f>
        <x:v>6.42</x:v>
      </x:c>
      <x:c r="P132" s="5" t="str">
        <x:v>https://neuromia.ru/app/images/flux</x:v>
      </x:c>
      <x:c r="Q132" s="8" t="n">
        <x:v>46282.375</x:v>
      </x:c>
      <x:c r="R132" s="5" t="str">
        <x:v>Цена показана до генерации при пустом промпте.</x:v>
      </x:c>
    </x:row>
    <x:row r="133" ht="22" customHeight="1">
      <x:c r="A133" s="5" t="str">
        <x:v>Изображение</x:v>
      </x:c>
      <x:c r="B133" s="5" t="str">
        <x:v>Flux 2 Flex</x:v>
      </x:c>
      <x:c r="C133" s="5" t="str">
        <x:v>Текст → изображение</x:v>
      </x:c>
      <x:c r="D133" s="5" t="str">
        <x:v>1K</x:v>
      </x:c>
      <x:c r="E133" s="5" t="str">
        <x:v>1:1</x:v>
      </x:c>
      <x:c r="F133" s="5" t="str"/>
      <x:c r="G133" s="5" t="str"/>
      <x:c r="H133" s="5" t="str">
        <x:v>Без исходного файла</x:v>
      </x:c>
      <x:c r="I133" s="6" t="n">
        <x:v>15.4</x:v>
      </x:c>
      <x:c r="J133" s="6" t="n">
        <x:v>15.4</x:v>
      </x:c>
      <x:c r="K133" s="5" t="str">
        <x:v>Точная цена в редакторе</x:v>
      </x:c>
      <x:c r="L133" s="5" t="str">
        <x:v>изображение</x:v>
      </x:c>
      <x:c r="M133" s="7" t="n">
        <x:f>IF(J133="","",ROUND(J133*Tariffs!$D$5,2))</x:f>
        <x:v>12.81</x:v>
      </x:c>
      <x:c r="N133" s="7" t="n">
        <x:f>IF(J133="","",ROUND(J133*Tariffs!$D$6,2))</x:f>
        <x:v>12.82</x:v>
      </x:c>
      <x:c r="O133" s="7" t="n">
        <x:f>IF(J133="","",ROUND(J133*Tariffs!$D$7,2))</x:f>
        <x:v>12.83</x:v>
      </x:c>
      <x:c r="P133" s="5" t="str">
        <x:v>https://neuromia.ru/app/images/flux</x:v>
      </x:c>
      <x:c r="Q133" s="8" t="n">
        <x:v>46282.375</x:v>
      </x:c>
      <x:c r="R133" s="5" t="str">
        <x:v>Цена показана до генерации при пустом промпте.</x:v>
      </x:c>
    </x:row>
    <x:row r="134" ht="22" customHeight="1">
      <x:c r="A134" s="5" t="str">
        <x:v>Изображение</x:v>
      </x:c>
      <x:c r="B134" s="5" t="str">
        <x:v>Flux 2 Flex</x:v>
      </x:c>
      <x:c r="C134" s="5" t="str">
        <x:v>Текст → изображение</x:v>
      </x:c>
      <x:c r="D134" s="5" t="str">
        <x:v>1K</x:v>
      </x:c>
      <x:c r="E134" s="5" t="str">
        <x:v>16:9</x:v>
      </x:c>
      <x:c r="F134" s="5" t="str"/>
      <x:c r="G134" s="5" t="str"/>
      <x:c r="H134" s="5" t="str">
        <x:v>Без исходного файла</x:v>
      </x:c>
      <x:c r="I134" s="6" t="n">
        <x:v>15.4</x:v>
      </x:c>
      <x:c r="J134" s="6" t="n">
        <x:v>15.4</x:v>
      </x:c>
      <x:c r="K134" s="5" t="str">
        <x:v>Точная цена в редакторе</x:v>
      </x:c>
      <x:c r="L134" s="5" t="str">
        <x:v>изображение</x:v>
      </x:c>
      <x:c r="M134" s="7" t="n">
        <x:f>IF(J134="","",ROUND(J134*Tariffs!$D$5,2))</x:f>
        <x:v>12.81</x:v>
      </x:c>
      <x:c r="N134" s="7" t="n">
        <x:f>IF(J134="","",ROUND(J134*Tariffs!$D$6,2))</x:f>
        <x:v>12.82</x:v>
      </x:c>
      <x:c r="O134" s="7" t="n">
        <x:f>IF(J134="","",ROUND(J134*Tariffs!$D$7,2))</x:f>
        <x:v>12.83</x:v>
      </x:c>
      <x:c r="P134" s="5" t="str">
        <x:v>https://neuromia.ru/app/images/flux</x:v>
      </x:c>
      <x:c r="Q134" s="8" t="n">
        <x:v>46282.375</x:v>
      </x:c>
      <x:c r="R134" s="5" t="str">
        <x:v>Цена показана до генерации при пустом промпте.</x:v>
      </x:c>
    </x:row>
    <x:row r="135" ht="22" customHeight="1">
      <x:c r="A135" s="5" t="str">
        <x:v>Изображение</x:v>
      </x:c>
      <x:c r="B135" s="5" t="str">
        <x:v>Flux 2 Flex</x:v>
      </x:c>
      <x:c r="C135" s="5" t="str">
        <x:v>Текст → изображение</x:v>
      </x:c>
      <x:c r="D135" s="5" t="str">
        <x:v>1K</x:v>
      </x:c>
      <x:c r="E135" s="5" t="str">
        <x:v>9:16</x:v>
      </x:c>
      <x:c r="F135" s="5" t="str"/>
      <x:c r="G135" s="5" t="str"/>
      <x:c r="H135" s="5" t="str">
        <x:v>Без исходного файла</x:v>
      </x:c>
      <x:c r="I135" s="6" t="n">
        <x:v>15.4</x:v>
      </x:c>
      <x:c r="J135" s="6" t="n">
        <x:v>15.4</x:v>
      </x:c>
      <x:c r="K135" s="5" t="str">
        <x:v>Точная цена в редакторе</x:v>
      </x:c>
      <x:c r="L135" s="5" t="str">
        <x:v>изображение</x:v>
      </x:c>
      <x:c r="M135" s="7" t="n">
        <x:f>IF(J135="","",ROUND(J135*Tariffs!$D$5,2))</x:f>
        <x:v>12.81</x:v>
      </x:c>
      <x:c r="N135" s="7" t="n">
        <x:f>IF(J135="","",ROUND(J135*Tariffs!$D$6,2))</x:f>
        <x:v>12.82</x:v>
      </x:c>
      <x:c r="O135" s="7" t="n">
        <x:f>IF(J135="","",ROUND(J135*Tariffs!$D$7,2))</x:f>
        <x:v>12.83</x:v>
      </x:c>
      <x:c r="P135" s="5" t="str">
        <x:v>https://neuromia.ru/app/images/flux</x:v>
      </x:c>
      <x:c r="Q135" s="8" t="n">
        <x:v>46282.375</x:v>
      </x:c>
      <x:c r="R135" s="5" t="str">
        <x:v>Цена показана до генерации при пустом промпте.</x:v>
      </x:c>
    </x:row>
    <x:row r="136" ht="22" customHeight="1">
      <x:c r="A136" s="5" t="str">
        <x:v>Изображение</x:v>
      </x:c>
      <x:c r="B136" s="5" t="str">
        <x:v>Flux 2 Flex</x:v>
      </x:c>
      <x:c r="C136" s="5" t="str">
        <x:v>Текст → изображение</x:v>
      </x:c>
      <x:c r="D136" s="5" t="str">
        <x:v>1K</x:v>
      </x:c>
      <x:c r="E136" s="5" t="str">
        <x:v>4:3</x:v>
      </x:c>
      <x:c r="F136" s="5" t="str"/>
      <x:c r="G136" s="5" t="str"/>
      <x:c r="H136" s="5" t="str">
        <x:v>Без исходного файла</x:v>
      </x:c>
      <x:c r="I136" s="6" t="n">
        <x:v>15.4</x:v>
      </x:c>
      <x:c r="J136" s="6" t="n">
        <x:v>15.4</x:v>
      </x:c>
      <x:c r="K136" s="5" t="str">
        <x:v>Точная цена в редакторе</x:v>
      </x:c>
      <x:c r="L136" s="5" t="str">
        <x:v>изображение</x:v>
      </x:c>
      <x:c r="M136" s="7" t="n">
        <x:f>IF(J136="","",ROUND(J136*Tariffs!$D$5,2))</x:f>
        <x:v>12.81</x:v>
      </x:c>
      <x:c r="N136" s="7" t="n">
        <x:f>IF(J136="","",ROUND(J136*Tariffs!$D$6,2))</x:f>
        <x:v>12.82</x:v>
      </x:c>
      <x:c r="O136" s="7" t="n">
        <x:f>IF(J136="","",ROUND(J136*Tariffs!$D$7,2))</x:f>
        <x:v>12.83</x:v>
      </x:c>
      <x:c r="P136" s="5" t="str">
        <x:v>https://neuromia.ru/app/images/flux</x:v>
      </x:c>
      <x:c r="Q136" s="8" t="n">
        <x:v>46282.375</x:v>
      </x:c>
      <x:c r="R136" s="5" t="str">
        <x:v>Цена показана до генерации при пустом промпте.</x:v>
      </x:c>
    </x:row>
    <x:row r="137" ht="22" customHeight="1">
      <x:c r="A137" s="5" t="str">
        <x:v>Изображение</x:v>
      </x:c>
      <x:c r="B137" s="5" t="str">
        <x:v>Flux 2 Flex</x:v>
      </x:c>
      <x:c r="C137" s="5" t="str">
        <x:v>Текст → изображение</x:v>
      </x:c>
      <x:c r="D137" s="5" t="str">
        <x:v>1K</x:v>
      </x:c>
      <x:c r="E137" s="5" t="str">
        <x:v>3:4</x:v>
      </x:c>
      <x:c r="F137" s="5" t="str"/>
      <x:c r="G137" s="5" t="str"/>
      <x:c r="H137" s="5" t="str">
        <x:v>Без исходного файла</x:v>
      </x:c>
      <x:c r="I137" s="6" t="n">
        <x:v>15.4</x:v>
      </x:c>
      <x:c r="J137" s="6" t="n">
        <x:v>15.4</x:v>
      </x:c>
      <x:c r="K137" s="5" t="str">
        <x:v>Точная цена в редакторе</x:v>
      </x:c>
      <x:c r="L137" s="5" t="str">
        <x:v>изображение</x:v>
      </x:c>
      <x:c r="M137" s="7" t="n">
        <x:f>IF(J137="","",ROUND(J137*Tariffs!$D$5,2))</x:f>
        <x:v>12.81</x:v>
      </x:c>
      <x:c r="N137" s="7" t="n">
        <x:f>IF(J137="","",ROUND(J137*Tariffs!$D$6,2))</x:f>
        <x:v>12.82</x:v>
      </x:c>
      <x:c r="O137" s="7" t="n">
        <x:f>IF(J137="","",ROUND(J137*Tariffs!$D$7,2))</x:f>
        <x:v>12.83</x:v>
      </x:c>
      <x:c r="P137" s="5" t="str">
        <x:v>https://neuromia.ru/app/images/flux</x:v>
      </x:c>
      <x:c r="Q137" s="8" t="n">
        <x:v>46282.375</x:v>
      </x:c>
      <x:c r="R137" s="5" t="str">
        <x:v>Цена показана до генерации при пустом промпте.</x:v>
      </x:c>
    </x:row>
    <x:row r="138" ht="22" customHeight="1">
      <x:c r="A138" s="5" t="str">
        <x:v>Изображение</x:v>
      </x:c>
      <x:c r="B138" s="5" t="str">
        <x:v>Flux 2 Flex</x:v>
      </x:c>
      <x:c r="C138" s="5" t="str">
        <x:v>Текст → изображение</x:v>
      </x:c>
      <x:c r="D138" s="5" t="str">
        <x:v>1K</x:v>
      </x:c>
      <x:c r="E138" s="5" t="str">
        <x:v>3:2</x:v>
      </x:c>
      <x:c r="F138" s="5" t="str"/>
      <x:c r="G138" s="5" t="str"/>
      <x:c r="H138" s="5" t="str">
        <x:v>Без исходного файла</x:v>
      </x:c>
      <x:c r="I138" s="6" t="n">
        <x:v>15.4</x:v>
      </x:c>
      <x:c r="J138" s="6" t="n">
        <x:v>15.4</x:v>
      </x:c>
      <x:c r="K138" s="5" t="str">
        <x:v>Точная цена в редакторе</x:v>
      </x:c>
      <x:c r="L138" s="5" t="str">
        <x:v>изображение</x:v>
      </x:c>
      <x:c r="M138" s="7" t="n">
        <x:f>IF(J138="","",ROUND(J138*Tariffs!$D$5,2))</x:f>
        <x:v>12.81</x:v>
      </x:c>
      <x:c r="N138" s="7" t="n">
        <x:f>IF(J138="","",ROUND(J138*Tariffs!$D$6,2))</x:f>
        <x:v>12.82</x:v>
      </x:c>
      <x:c r="O138" s="7" t="n">
        <x:f>IF(J138="","",ROUND(J138*Tariffs!$D$7,2))</x:f>
        <x:v>12.83</x:v>
      </x:c>
      <x:c r="P138" s="5" t="str">
        <x:v>https://neuromia.ru/app/images/flux</x:v>
      </x:c>
      <x:c r="Q138" s="8" t="n">
        <x:v>46282.375</x:v>
      </x:c>
      <x:c r="R138" s="5" t="str">
        <x:v>Цена показана до генерации при пустом промпте.</x:v>
      </x:c>
    </x:row>
    <x:row r="139" ht="22" customHeight="1">
      <x:c r="A139" s="5" t="str">
        <x:v>Изображение</x:v>
      </x:c>
      <x:c r="B139" s="5" t="str">
        <x:v>Flux 2 Flex</x:v>
      </x:c>
      <x:c r="C139" s="5" t="str">
        <x:v>Текст → изображение</x:v>
      </x:c>
      <x:c r="D139" s="5" t="str">
        <x:v>1K</x:v>
      </x:c>
      <x:c r="E139" s="5" t="str">
        <x:v>2:3</x:v>
      </x:c>
      <x:c r="F139" s="5" t="str"/>
      <x:c r="G139" s="5" t="str"/>
      <x:c r="H139" s="5" t="str">
        <x:v>Без исходного файла</x:v>
      </x:c>
      <x:c r="I139" s="6" t="n">
        <x:v>15.4</x:v>
      </x:c>
      <x:c r="J139" s="6" t="n">
        <x:v>15.4</x:v>
      </x:c>
      <x:c r="K139" s="5" t="str">
        <x:v>Точная цена в редакторе</x:v>
      </x:c>
      <x:c r="L139" s="5" t="str">
        <x:v>изображение</x:v>
      </x:c>
      <x:c r="M139" s="7" t="n">
        <x:f>IF(J139="","",ROUND(J139*Tariffs!$D$5,2))</x:f>
        <x:v>12.81</x:v>
      </x:c>
      <x:c r="N139" s="7" t="n">
        <x:f>IF(J139="","",ROUND(J139*Tariffs!$D$6,2))</x:f>
        <x:v>12.82</x:v>
      </x:c>
      <x:c r="O139" s="7" t="n">
        <x:f>IF(J139="","",ROUND(J139*Tariffs!$D$7,2))</x:f>
        <x:v>12.83</x:v>
      </x:c>
      <x:c r="P139" s="5" t="str">
        <x:v>https://neuromia.ru/app/images/flux</x:v>
      </x:c>
      <x:c r="Q139" s="8" t="n">
        <x:v>46282.375</x:v>
      </x:c>
      <x:c r="R139" s="5" t="str">
        <x:v>Цена показана до генерации при пустом промпте.</x:v>
      </x:c>
    </x:row>
    <x:row r="140" ht="22" customHeight="1">
      <x:c r="A140" s="5" t="str">
        <x:v>Изображение</x:v>
      </x:c>
      <x:c r="B140" s="5" t="str">
        <x:v>Flux 2 Flex</x:v>
      </x:c>
      <x:c r="C140" s="5" t="str">
        <x:v>Текст → изображение</x:v>
      </x:c>
      <x:c r="D140" s="5" t="str">
        <x:v>2K</x:v>
      </x:c>
      <x:c r="E140" s="5" t="str">
        <x:v>1:1</x:v>
      </x:c>
      <x:c r="F140" s="5" t="str"/>
      <x:c r="G140" s="5" t="str"/>
      <x:c r="H140" s="5" t="str">
        <x:v>Без исходного файла</x:v>
      </x:c>
      <x:c r="I140" s="6" t="n">
        <x:v>26.4</x:v>
      </x:c>
      <x:c r="J140" s="6" t="n">
        <x:v>26.4</x:v>
      </x:c>
      <x:c r="K140" s="5" t="str">
        <x:v>Точная цена в редакторе</x:v>
      </x:c>
      <x:c r="L140" s="5" t="str">
        <x:v>изображение</x:v>
      </x:c>
      <x:c r="M140" s="7" t="n">
        <x:f>IF(J140="","",ROUND(J140*Tariffs!$D$5,2))</x:f>
        <x:v>21.96</x:v>
      </x:c>
      <x:c r="N140" s="7" t="n">
        <x:f>IF(J140="","",ROUND(J140*Tariffs!$D$6,2))</x:f>
        <x:v>21.98</x:v>
      </x:c>
      <x:c r="O140" s="7" t="n">
        <x:f>IF(J140="","",ROUND(J140*Tariffs!$D$7,2))</x:f>
        <x:v>22</x:v>
      </x:c>
      <x:c r="P140" s="5" t="str">
        <x:v>https://neuromia.ru/app/images/flux</x:v>
      </x:c>
      <x:c r="Q140" s="8" t="n">
        <x:v>46282.375</x:v>
      </x:c>
      <x:c r="R140" s="5" t="str">
        <x:v>Цена показана до генерации при пустом промпте.</x:v>
      </x:c>
    </x:row>
    <x:row r="141" ht="22" customHeight="1">
      <x:c r="A141" s="5" t="str">
        <x:v>Изображение</x:v>
      </x:c>
      <x:c r="B141" s="5" t="str">
        <x:v>Flux 2 Flex</x:v>
      </x:c>
      <x:c r="C141" s="5" t="str">
        <x:v>Текст → изображение</x:v>
      </x:c>
      <x:c r="D141" s="5" t="str">
        <x:v>2K</x:v>
      </x:c>
      <x:c r="E141" s="5" t="str">
        <x:v>16:9</x:v>
      </x:c>
      <x:c r="F141" s="5" t="str"/>
      <x:c r="G141" s="5" t="str"/>
      <x:c r="H141" s="5" t="str">
        <x:v>Без исходного файла</x:v>
      </x:c>
      <x:c r="I141" s="6" t="n">
        <x:v>26.4</x:v>
      </x:c>
      <x:c r="J141" s="6" t="n">
        <x:v>26.4</x:v>
      </x:c>
      <x:c r="K141" s="5" t="str">
        <x:v>Точная цена в редакторе</x:v>
      </x:c>
      <x:c r="L141" s="5" t="str">
        <x:v>изображение</x:v>
      </x:c>
      <x:c r="M141" s="7" t="n">
        <x:f>IF(J141="","",ROUND(J141*Tariffs!$D$5,2))</x:f>
        <x:v>21.96</x:v>
      </x:c>
      <x:c r="N141" s="7" t="n">
        <x:f>IF(J141="","",ROUND(J141*Tariffs!$D$6,2))</x:f>
        <x:v>21.98</x:v>
      </x:c>
      <x:c r="O141" s="7" t="n">
        <x:f>IF(J141="","",ROUND(J141*Tariffs!$D$7,2))</x:f>
        <x:v>22</x:v>
      </x:c>
      <x:c r="P141" s="5" t="str">
        <x:v>https://neuromia.ru/app/images/flux</x:v>
      </x:c>
      <x:c r="Q141" s="8" t="n">
        <x:v>46282.375</x:v>
      </x:c>
      <x:c r="R141" s="5" t="str">
        <x:v>Цена показана до генерации при пустом промпте.</x:v>
      </x:c>
    </x:row>
    <x:row r="142" ht="22" customHeight="1">
      <x:c r="A142" s="5" t="str">
        <x:v>Изображение</x:v>
      </x:c>
      <x:c r="B142" s="5" t="str">
        <x:v>Flux 2 Flex</x:v>
      </x:c>
      <x:c r="C142" s="5" t="str">
        <x:v>Текст → изображение</x:v>
      </x:c>
      <x:c r="D142" s="5" t="str">
        <x:v>2K</x:v>
      </x:c>
      <x:c r="E142" s="5" t="str">
        <x:v>9:16</x:v>
      </x:c>
      <x:c r="F142" s="5" t="str"/>
      <x:c r="G142" s="5" t="str"/>
      <x:c r="H142" s="5" t="str">
        <x:v>Без исходного файла</x:v>
      </x:c>
      <x:c r="I142" s="6" t="n">
        <x:v>26.4</x:v>
      </x:c>
      <x:c r="J142" s="6" t="n">
        <x:v>26.4</x:v>
      </x:c>
      <x:c r="K142" s="5" t="str">
        <x:v>Точная цена в редакторе</x:v>
      </x:c>
      <x:c r="L142" s="5" t="str">
        <x:v>изображение</x:v>
      </x:c>
      <x:c r="M142" s="7" t="n">
        <x:f>IF(J142="","",ROUND(J142*Tariffs!$D$5,2))</x:f>
        <x:v>21.96</x:v>
      </x:c>
      <x:c r="N142" s="7" t="n">
        <x:f>IF(J142="","",ROUND(J142*Tariffs!$D$6,2))</x:f>
        <x:v>21.98</x:v>
      </x:c>
      <x:c r="O142" s="7" t="n">
        <x:f>IF(J142="","",ROUND(J142*Tariffs!$D$7,2))</x:f>
        <x:v>22</x:v>
      </x:c>
      <x:c r="P142" s="5" t="str">
        <x:v>https://neuromia.ru/app/images/flux</x:v>
      </x:c>
      <x:c r="Q142" s="8" t="n">
        <x:v>46282.375</x:v>
      </x:c>
      <x:c r="R142" s="5" t="str">
        <x:v>Цена показана до генерации при пустом промпте.</x:v>
      </x:c>
    </x:row>
    <x:row r="143" ht="22" customHeight="1">
      <x:c r="A143" s="5" t="str">
        <x:v>Изображение</x:v>
      </x:c>
      <x:c r="B143" s="5" t="str">
        <x:v>Flux 2 Flex</x:v>
      </x:c>
      <x:c r="C143" s="5" t="str">
        <x:v>Текст → изображение</x:v>
      </x:c>
      <x:c r="D143" s="5" t="str">
        <x:v>2K</x:v>
      </x:c>
      <x:c r="E143" s="5" t="str">
        <x:v>4:3</x:v>
      </x:c>
      <x:c r="F143" s="5" t="str"/>
      <x:c r="G143" s="5" t="str"/>
      <x:c r="H143" s="5" t="str">
        <x:v>Без исходного файла</x:v>
      </x:c>
      <x:c r="I143" s="6" t="n">
        <x:v>26.4</x:v>
      </x:c>
      <x:c r="J143" s="6" t="n">
        <x:v>26.4</x:v>
      </x:c>
      <x:c r="K143" s="5" t="str">
        <x:v>Точная цена в редакторе</x:v>
      </x:c>
      <x:c r="L143" s="5" t="str">
        <x:v>изображение</x:v>
      </x:c>
      <x:c r="M143" s="7" t="n">
        <x:f>IF(J143="","",ROUND(J143*Tariffs!$D$5,2))</x:f>
        <x:v>21.96</x:v>
      </x:c>
      <x:c r="N143" s="7" t="n">
        <x:f>IF(J143="","",ROUND(J143*Tariffs!$D$6,2))</x:f>
        <x:v>21.98</x:v>
      </x:c>
      <x:c r="O143" s="7" t="n">
        <x:f>IF(J143="","",ROUND(J143*Tariffs!$D$7,2))</x:f>
        <x:v>22</x:v>
      </x:c>
      <x:c r="P143" s="5" t="str">
        <x:v>https://neuromia.ru/app/images/flux</x:v>
      </x:c>
      <x:c r="Q143" s="8" t="n">
        <x:v>46282.375</x:v>
      </x:c>
      <x:c r="R143" s="5" t="str">
        <x:v>Цена показана до генерации при пустом промпте.</x:v>
      </x:c>
    </x:row>
    <x:row r="144" ht="22" customHeight="1">
      <x:c r="A144" s="5" t="str">
        <x:v>Изображение</x:v>
      </x:c>
      <x:c r="B144" s="5" t="str">
        <x:v>Flux 2 Flex</x:v>
      </x:c>
      <x:c r="C144" s="5" t="str">
        <x:v>Текст → изображение</x:v>
      </x:c>
      <x:c r="D144" s="5" t="str">
        <x:v>2K</x:v>
      </x:c>
      <x:c r="E144" s="5" t="str">
        <x:v>3:4</x:v>
      </x:c>
      <x:c r="F144" s="5" t="str"/>
      <x:c r="G144" s="5" t="str"/>
      <x:c r="H144" s="5" t="str">
        <x:v>Без исходного файла</x:v>
      </x:c>
      <x:c r="I144" s="6" t="n">
        <x:v>26.4</x:v>
      </x:c>
      <x:c r="J144" s="6" t="n">
        <x:v>26.4</x:v>
      </x:c>
      <x:c r="K144" s="5" t="str">
        <x:v>Точная цена в редакторе</x:v>
      </x:c>
      <x:c r="L144" s="5" t="str">
        <x:v>изображение</x:v>
      </x:c>
      <x:c r="M144" s="7" t="n">
        <x:f>IF(J144="","",ROUND(J144*Tariffs!$D$5,2))</x:f>
        <x:v>21.96</x:v>
      </x:c>
      <x:c r="N144" s="7" t="n">
        <x:f>IF(J144="","",ROUND(J144*Tariffs!$D$6,2))</x:f>
        <x:v>21.98</x:v>
      </x:c>
      <x:c r="O144" s="7" t="n">
        <x:f>IF(J144="","",ROUND(J144*Tariffs!$D$7,2))</x:f>
        <x:v>22</x:v>
      </x:c>
      <x:c r="P144" s="5" t="str">
        <x:v>https://neuromia.ru/app/images/flux</x:v>
      </x:c>
      <x:c r="Q144" s="8" t="n">
        <x:v>46282.375</x:v>
      </x:c>
      <x:c r="R144" s="5" t="str">
        <x:v>Цена показана до генерации при пустом промпте.</x:v>
      </x:c>
    </x:row>
    <x:row r="145" ht="22" customHeight="1">
      <x:c r="A145" s="5" t="str">
        <x:v>Изображение</x:v>
      </x:c>
      <x:c r="B145" s="5" t="str">
        <x:v>Flux 2 Flex</x:v>
      </x:c>
      <x:c r="C145" s="5" t="str">
        <x:v>Текст → изображение</x:v>
      </x:c>
      <x:c r="D145" s="5" t="str">
        <x:v>2K</x:v>
      </x:c>
      <x:c r="E145" s="5" t="str">
        <x:v>3:2</x:v>
      </x:c>
      <x:c r="F145" s="5" t="str"/>
      <x:c r="G145" s="5" t="str"/>
      <x:c r="H145" s="5" t="str">
        <x:v>Без исходного файла</x:v>
      </x:c>
      <x:c r="I145" s="6" t="n">
        <x:v>26.4</x:v>
      </x:c>
      <x:c r="J145" s="6" t="n">
        <x:v>26.4</x:v>
      </x:c>
      <x:c r="K145" s="5" t="str">
        <x:v>Точная цена в редакторе</x:v>
      </x:c>
      <x:c r="L145" s="5" t="str">
        <x:v>изображение</x:v>
      </x:c>
      <x:c r="M145" s="7" t="n">
        <x:f>IF(J145="","",ROUND(J145*Tariffs!$D$5,2))</x:f>
        <x:v>21.96</x:v>
      </x:c>
      <x:c r="N145" s="7" t="n">
        <x:f>IF(J145="","",ROUND(J145*Tariffs!$D$6,2))</x:f>
        <x:v>21.98</x:v>
      </x:c>
      <x:c r="O145" s="7" t="n">
        <x:f>IF(J145="","",ROUND(J145*Tariffs!$D$7,2))</x:f>
        <x:v>22</x:v>
      </x:c>
      <x:c r="P145" s="5" t="str">
        <x:v>https://neuromia.ru/app/images/flux</x:v>
      </x:c>
      <x:c r="Q145" s="8" t="n">
        <x:v>46282.375</x:v>
      </x:c>
      <x:c r="R145" s="5" t="str">
        <x:v>Цена показана до генерации при пустом промпте.</x:v>
      </x:c>
    </x:row>
    <x:row r="146" ht="22" customHeight="1">
      <x:c r="A146" s="5" t="str">
        <x:v>Изображение</x:v>
      </x:c>
      <x:c r="B146" s="5" t="str">
        <x:v>Flux 2 Flex</x:v>
      </x:c>
      <x:c r="C146" s="5" t="str">
        <x:v>Текст → изображение</x:v>
      </x:c>
      <x:c r="D146" s="5" t="str">
        <x:v>2K</x:v>
      </x:c>
      <x:c r="E146" s="5" t="str">
        <x:v>2:3</x:v>
      </x:c>
      <x:c r="F146" s="5" t="str"/>
      <x:c r="G146" s="5" t="str"/>
      <x:c r="H146" s="5" t="str">
        <x:v>Без исходного файла</x:v>
      </x:c>
      <x:c r="I146" s="6" t="n">
        <x:v>26.4</x:v>
      </x:c>
      <x:c r="J146" s="6" t="n">
        <x:v>26.4</x:v>
      </x:c>
      <x:c r="K146" s="5" t="str">
        <x:v>Точная цена в редакторе</x:v>
      </x:c>
      <x:c r="L146" s="5" t="str">
        <x:v>изображение</x:v>
      </x:c>
      <x:c r="M146" s="7" t="n">
        <x:f>IF(J146="","",ROUND(J146*Tariffs!$D$5,2))</x:f>
        <x:v>21.96</x:v>
      </x:c>
      <x:c r="N146" s="7" t="n">
        <x:f>IF(J146="","",ROUND(J146*Tariffs!$D$6,2))</x:f>
        <x:v>21.98</x:v>
      </x:c>
      <x:c r="O146" s="7" t="n">
        <x:f>IF(J146="","",ROUND(J146*Tariffs!$D$7,2))</x:f>
        <x:v>22</x:v>
      </x:c>
      <x:c r="P146" s="5" t="str">
        <x:v>https://neuromia.ru/app/images/flux</x:v>
      </x:c>
      <x:c r="Q146" s="8" t="n">
        <x:v>46282.375</x:v>
      </x:c>
      <x:c r="R146" s="5" t="str">
        <x:v>Цена показана до генерации при пустом промпте.</x:v>
      </x:c>
    </x:row>
    <x:row r="147" ht="22" customHeight="1">
      <x:c r="A147" s="5" t="str">
        <x:v>Изображение</x:v>
      </x:c>
      <x:c r="B147" s="5" t="str">
        <x:v>Ideogram V3</x:v>
      </x:c>
      <x:c r="C147" s="5" t="str">
        <x:v>Текст → изображение</x:v>
      </x:c>
      <x:c r="D147" s="5" t="str">
        <x:v>—</x:v>
      </x:c>
      <x:c r="E147" s="5" t="str">
        <x:v>1:1</x:v>
      </x:c>
      <x:c r="F147" s="5" t="str"/>
      <x:c r="G147" s="5" t="str"/>
      <x:c r="H147" s="5" t="str">
        <x:v>Без исходного файла</x:v>
      </x:c>
      <x:c r="I147" s="6" t="n">
        <x:v>3.85</x:v>
      </x:c>
      <x:c r="J147" s="6" t="n">
        <x:v>3.85</x:v>
      </x:c>
      <x:c r="K147" s="5" t="str">
        <x:v>Точная цена в редакторе</x:v>
      </x:c>
      <x:c r="L147" s="5" t="str">
        <x:v>изображение</x:v>
      </x:c>
      <x:c r="M147" s="7" t="n">
        <x:f>IF(J147="","",ROUND(J147*Tariffs!$D$5,2))</x:f>
        <x:v>3.2</x:v>
      </x:c>
      <x:c r="N147" s="7" t="n">
        <x:f>IF(J147="","",ROUND(J147*Tariffs!$D$6,2))</x:f>
        <x:v>3.21</x:v>
      </x:c>
      <x:c r="O147" s="7" t="n">
        <x:f>IF(J147="","",ROUND(J147*Tariffs!$D$7,2))</x:f>
        <x:v>3.21</x:v>
      </x:c>
      <x:c r="P147" s="5" t="str">
        <x:v>https://neuromia.ru/app/images/ideogram</x:v>
      </x:c>
      <x:c r="Q147" s="8" t="n">
        <x:v>46282.375</x:v>
      </x:c>
      <x:c r="R147" s="5" t="str">
        <x:v>Цена показана до генерации при пустом промпте.</x:v>
      </x:c>
    </x:row>
    <x:row r="148" ht="22" customHeight="1">
      <x:c r="A148" s="5" t="str">
        <x:v>Изображение</x:v>
      </x:c>
      <x:c r="B148" s="5" t="str">
        <x:v>Ideogram V3</x:v>
      </x:c>
      <x:c r="C148" s="5" t="str">
        <x:v>Текст → изображение</x:v>
      </x:c>
      <x:c r="D148" s="5" t="str">
        <x:v>—</x:v>
      </x:c>
      <x:c r="E148" s="5" t="str">
        <x:v>16:9</x:v>
      </x:c>
      <x:c r="F148" s="5" t="str"/>
      <x:c r="G148" s="5" t="str"/>
      <x:c r="H148" s="5" t="str">
        <x:v>Без исходного файла</x:v>
      </x:c>
      <x:c r="I148" s="6" t="n">
        <x:v>3.85</x:v>
      </x:c>
      <x:c r="J148" s="6" t="n">
        <x:v>3.85</x:v>
      </x:c>
      <x:c r="K148" s="5" t="str">
        <x:v>Точная цена в редакторе</x:v>
      </x:c>
      <x:c r="L148" s="5" t="str">
        <x:v>изображение</x:v>
      </x:c>
      <x:c r="M148" s="7" t="n">
        <x:f>IF(J148="","",ROUND(J148*Tariffs!$D$5,2))</x:f>
        <x:v>3.2</x:v>
      </x:c>
      <x:c r="N148" s="7" t="n">
        <x:f>IF(J148="","",ROUND(J148*Tariffs!$D$6,2))</x:f>
        <x:v>3.21</x:v>
      </x:c>
      <x:c r="O148" s="7" t="n">
        <x:f>IF(J148="","",ROUND(J148*Tariffs!$D$7,2))</x:f>
        <x:v>3.21</x:v>
      </x:c>
      <x:c r="P148" s="5" t="str">
        <x:v>https://neuromia.ru/app/images/ideogram</x:v>
      </x:c>
      <x:c r="Q148" s="8" t="n">
        <x:v>46282.375</x:v>
      </x:c>
      <x:c r="R148" s="5" t="str">
        <x:v>Цена показана до генерации при пустом промпте.</x:v>
      </x:c>
    </x:row>
    <x:row r="149" ht="22" customHeight="1">
      <x:c r="A149" s="5" t="str">
        <x:v>Изображение</x:v>
      </x:c>
      <x:c r="B149" s="5" t="str">
        <x:v>Ideogram V3</x:v>
      </x:c>
      <x:c r="C149" s="5" t="str">
        <x:v>Текст → изображение</x:v>
      </x:c>
      <x:c r="D149" s="5" t="str">
        <x:v>—</x:v>
      </x:c>
      <x:c r="E149" s="5" t="str">
        <x:v>9:16</x:v>
      </x:c>
      <x:c r="F149" s="5" t="str"/>
      <x:c r="G149" s="5" t="str"/>
      <x:c r="H149" s="5" t="str">
        <x:v>Без исходного файла</x:v>
      </x:c>
      <x:c r="I149" s="6" t="n">
        <x:v>3.85</x:v>
      </x:c>
      <x:c r="J149" s="6" t="n">
        <x:v>3.85</x:v>
      </x:c>
      <x:c r="K149" s="5" t="str">
        <x:v>Точная цена в редакторе</x:v>
      </x:c>
      <x:c r="L149" s="5" t="str">
        <x:v>изображение</x:v>
      </x:c>
      <x:c r="M149" s="7" t="n">
        <x:f>IF(J149="","",ROUND(J149*Tariffs!$D$5,2))</x:f>
        <x:v>3.2</x:v>
      </x:c>
      <x:c r="N149" s="7" t="n">
        <x:f>IF(J149="","",ROUND(J149*Tariffs!$D$6,2))</x:f>
        <x:v>3.21</x:v>
      </x:c>
      <x:c r="O149" s="7" t="n">
        <x:f>IF(J149="","",ROUND(J149*Tariffs!$D$7,2))</x:f>
        <x:v>3.21</x:v>
      </x:c>
      <x:c r="P149" s="5" t="str">
        <x:v>https://neuromia.ru/app/images/ideogram</x:v>
      </x:c>
      <x:c r="Q149" s="8" t="n">
        <x:v>46282.375</x:v>
      </x:c>
      <x:c r="R149" s="5" t="str">
        <x:v>Цена показана до генерации при пустом промпте.</x:v>
      </x:c>
    </x:row>
    <x:row r="150" ht="22" customHeight="1">
      <x:c r="A150" s="5" t="str">
        <x:v>Изображение</x:v>
      </x:c>
      <x:c r="B150" s="5" t="str">
        <x:v>Ideogram V3</x:v>
      </x:c>
      <x:c r="C150" s="5" t="str">
        <x:v>Текст → изображение</x:v>
      </x:c>
      <x:c r="D150" s="5" t="str">
        <x:v>—</x:v>
      </x:c>
      <x:c r="E150" s="5" t="str">
        <x:v>3:4</x:v>
      </x:c>
      <x:c r="F150" s="5" t="str"/>
      <x:c r="G150" s="5" t="str"/>
      <x:c r="H150" s="5" t="str">
        <x:v>Без исходного файла</x:v>
      </x:c>
      <x:c r="I150" s="6" t="n">
        <x:v>3.85</x:v>
      </x:c>
      <x:c r="J150" s="6" t="n">
        <x:v>3.85</x:v>
      </x:c>
      <x:c r="K150" s="5" t="str">
        <x:v>Точная цена в редакторе</x:v>
      </x:c>
      <x:c r="L150" s="5" t="str">
        <x:v>изображение</x:v>
      </x:c>
      <x:c r="M150" s="7" t="n">
        <x:f>IF(J150="","",ROUND(J150*Tariffs!$D$5,2))</x:f>
        <x:v>3.2</x:v>
      </x:c>
      <x:c r="N150" s="7" t="n">
        <x:f>IF(J150="","",ROUND(J150*Tariffs!$D$6,2))</x:f>
        <x:v>3.21</x:v>
      </x:c>
      <x:c r="O150" s="7" t="n">
        <x:f>IF(J150="","",ROUND(J150*Tariffs!$D$7,2))</x:f>
        <x:v>3.21</x:v>
      </x:c>
      <x:c r="P150" s="5" t="str">
        <x:v>https://neuromia.ru/app/images/ideogram</x:v>
      </x:c>
      <x:c r="Q150" s="8" t="n">
        <x:v>46282.375</x:v>
      </x:c>
      <x:c r="R150" s="5" t="str">
        <x:v>Цена показана до генерации при пустом промпте.</x:v>
      </x:c>
    </x:row>
    <x:row r="151" ht="22" customHeight="1">
      <x:c r="A151" s="5" t="str">
        <x:v>Изображение</x:v>
      </x:c>
      <x:c r="B151" s="5" t="str">
        <x:v>Ideogram V3</x:v>
      </x:c>
      <x:c r="C151" s="5" t="str">
        <x:v>Текст → изображение</x:v>
      </x:c>
      <x:c r="D151" s="5" t="str">
        <x:v>—</x:v>
      </x:c>
      <x:c r="E151" s="5" t="str">
        <x:v>4:3</x:v>
      </x:c>
      <x:c r="F151" s="5" t="str"/>
      <x:c r="G151" s="5" t="str"/>
      <x:c r="H151" s="5" t="str">
        <x:v>Без исходного файла</x:v>
      </x:c>
      <x:c r="I151" s="6" t="n">
        <x:v>3.85</x:v>
      </x:c>
      <x:c r="J151" s="6" t="n">
        <x:v>3.85</x:v>
      </x:c>
      <x:c r="K151" s="5" t="str">
        <x:v>Точная цена в редакторе</x:v>
      </x:c>
      <x:c r="L151" s="5" t="str">
        <x:v>изображение</x:v>
      </x:c>
      <x:c r="M151" s="7" t="n">
        <x:f>IF(J151="","",ROUND(J151*Tariffs!$D$5,2))</x:f>
        <x:v>3.2</x:v>
      </x:c>
      <x:c r="N151" s="7" t="n">
        <x:f>IF(J151="","",ROUND(J151*Tariffs!$D$6,2))</x:f>
        <x:v>3.21</x:v>
      </x:c>
      <x:c r="O151" s="7" t="n">
        <x:f>IF(J151="","",ROUND(J151*Tariffs!$D$7,2))</x:f>
        <x:v>3.21</x:v>
      </x:c>
      <x:c r="P151" s="5" t="str">
        <x:v>https://neuromia.ru/app/images/ideogram</x:v>
      </x:c>
      <x:c r="Q151" s="8" t="n">
        <x:v>46282.375</x:v>
      </x:c>
      <x:c r="R151" s="5" t="str">
        <x:v>Цена показана до генерации при пустом промпте.</x:v>
      </x:c>
    </x:row>
    <x:row r="152" ht="22" customHeight="1">
      <x:c r="A152" s="5" t="str">
        <x:v>Изображение</x:v>
      </x:c>
      <x:c r="B152" s="5" t="str">
        <x:v>Midjourney</x:v>
      </x:c>
      <x:c r="C152" s="5" t="str">
        <x:v>Текст → изображение</x:v>
      </x:c>
      <x:c r="D152" s="5" t="str">
        <x:v>—</x:v>
      </x:c>
      <x:c r="E152" s="5" t="str">
        <x:v>1:1</x:v>
      </x:c>
      <x:c r="F152" s="5" t="str"/>
      <x:c r="G152" s="5" t="str"/>
      <x:c r="H152" s="5" t="str">
        <x:v>Без исходного файла</x:v>
      </x:c>
      <x:c r="I152" s="6" t="n">
        <x:v>12.11</x:v>
      </x:c>
      <x:c r="J152" s="6" t="n">
        <x:v>12.11</x:v>
      </x:c>
      <x:c r="K152" s="5" t="str">
        <x:v>Точная цена в редакторе</x:v>
      </x:c>
      <x:c r="L152" s="5" t="str">
        <x:v>изображение</x:v>
      </x:c>
      <x:c r="M152" s="7" t="n">
        <x:f>IF(J152="","",ROUND(J152*Tariffs!$D$5,2))</x:f>
        <x:v>10.07</x:v>
      </x:c>
      <x:c r="N152" s="7" t="n">
        <x:f>IF(J152="","",ROUND(J152*Tariffs!$D$6,2))</x:f>
        <x:v>10.08</x:v>
      </x:c>
      <x:c r="O152" s="7" t="n">
        <x:f>IF(J152="","",ROUND(J152*Tariffs!$D$7,2))</x:f>
        <x:v>10.09</x:v>
      </x:c>
      <x:c r="P152" s="5" t="str">
        <x:v>https://neuromia.ru/app/images/midjourney</x:v>
      </x:c>
      <x:c r="Q152" s="8" t="n">
        <x:v>46282.375</x:v>
      </x:c>
      <x:c r="R152" s="5" t="str">
        <x:v>Цена показана до генерации при пустом промпте.</x:v>
      </x:c>
    </x:row>
    <x:row r="153" ht="22" customHeight="1">
      <x:c r="A153" s="5" t="str">
        <x:v>Изображение</x:v>
      </x:c>
      <x:c r="B153" s="5" t="str">
        <x:v>Midjourney</x:v>
      </x:c>
      <x:c r="C153" s="5" t="str">
        <x:v>Текст → изображение</x:v>
      </x:c>
      <x:c r="D153" s="5" t="str">
        <x:v>—</x:v>
      </x:c>
      <x:c r="E153" s="5" t="str">
        <x:v>16:9</x:v>
      </x:c>
      <x:c r="F153" s="5" t="str"/>
      <x:c r="G153" s="5" t="str"/>
      <x:c r="H153" s="5" t="str">
        <x:v>Без исходного файла</x:v>
      </x:c>
      <x:c r="I153" s="6" t="n">
        <x:v>12.11</x:v>
      </x:c>
      <x:c r="J153" s="6" t="n">
        <x:v>12.11</x:v>
      </x:c>
      <x:c r="K153" s="5" t="str">
        <x:v>Точная цена в редакторе</x:v>
      </x:c>
      <x:c r="L153" s="5" t="str">
        <x:v>изображение</x:v>
      </x:c>
      <x:c r="M153" s="7" t="n">
        <x:f>IF(J153="","",ROUND(J153*Tariffs!$D$5,2))</x:f>
        <x:v>10.07</x:v>
      </x:c>
      <x:c r="N153" s="7" t="n">
        <x:f>IF(J153="","",ROUND(J153*Tariffs!$D$6,2))</x:f>
        <x:v>10.08</x:v>
      </x:c>
      <x:c r="O153" s="7" t="n">
        <x:f>IF(J153="","",ROUND(J153*Tariffs!$D$7,2))</x:f>
        <x:v>10.09</x:v>
      </x:c>
      <x:c r="P153" s="5" t="str">
        <x:v>https://neuromia.ru/app/images/midjourney</x:v>
      </x:c>
      <x:c r="Q153" s="8" t="n">
        <x:v>46282.375</x:v>
      </x:c>
      <x:c r="R153" s="5" t="str">
        <x:v>Цена показана до генерации при пустом промпте.</x:v>
      </x:c>
    </x:row>
    <x:row r="154" ht="22" customHeight="1">
      <x:c r="A154" s="5" t="str">
        <x:v>Изображение</x:v>
      </x:c>
      <x:c r="B154" s="5" t="str">
        <x:v>Midjourney</x:v>
      </x:c>
      <x:c r="C154" s="5" t="str">
        <x:v>Текст → изображение</x:v>
      </x:c>
      <x:c r="D154" s="5" t="str">
        <x:v>—</x:v>
      </x:c>
      <x:c r="E154" s="5" t="str">
        <x:v>9:16</x:v>
      </x:c>
      <x:c r="F154" s="5" t="str"/>
      <x:c r="G154" s="5" t="str"/>
      <x:c r="H154" s="5" t="str">
        <x:v>Без исходного файла</x:v>
      </x:c>
      <x:c r="I154" s="6" t="n">
        <x:v>12.11</x:v>
      </x:c>
      <x:c r="J154" s="6" t="n">
        <x:v>12.11</x:v>
      </x:c>
      <x:c r="K154" s="5" t="str">
        <x:v>Точная цена в редакторе</x:v>
      </x:c>
      <x:c r="L154" s="5" t="str">
        <x:v>изображение</x:v>
      </x:c>
      <x:c r="M154" s="7" t="n">
        <x:f>IF(J154="","",ROUND(J154*Tariffs!$D$5,2))</x:f>
        <x:v>10.07</x:v>
      </x:c>
      <x:c r="N154" s="7" t="n">
        <x:f>IF(J154="","",ROUND(J154*Tariffs!$D$6,2))</x:f>
        <x:v>10.08</x:v>
      </x:c>
      <x:c r="O154" s="7" t="n">
        <x:f>IF(J154="","",ROUND(J154*Tariffs!$D$7,2))</x:f>
        <x:v>10.09</x:v>
      </x:c>
      <x:c r="P154" s="5" t="str">
        <x:v>https://neuromia.ru/app/images/midjourney</x:v>
      </x:c>
      <x:c r="Q154" s="8" t="n">
        <x:v>46282.375</x:v>
      </x:c>
      <x:c r="R154" s="5" t="str">
        <x:v>Цена показана до генерации при пустом промпте.</x:v>
      </x:c>
    </x:row>
    <x:row r="155" ht="22" customHeight="1">
      <x:c r="A155" s="5" t="str">
        <x:v>Изображение</x:v>
      </x:c>
      <x:c r="B155" s="5" t="str">
        <x:v>Midjourney</x:v>
      </x:c>
      <x:c r="C155" s="5" t="str">
        <x:v>Текст → изображение</x:v>
      </x:c>
      <x:c r="D155" s="5" t="str">
        <x:v>—</x:v>
      </x:c>
      <x:c r="E155" s="5" t="str">
        <x:v>4:3</x:v>
      </x:c>
      <x:c r="F155" s="5" t="str"/>
      <x:c r="G155" s="5" t="str"/>
      <x:c r="H155" s="5" t="str">
        <x:v>Без исходного файла</x:v>
      </x:c>
      <x:c r="I155" s="6" t="n">
        <x:v>12.11</x:v>
      </x:c>
      <x:c r="J155" s="6" t="n">
        <x:v>12.11</x:v>
      </x:c>
      <x:c r="K155" s="5" t="str">
        <x:v>Точная цена в редакторе</x:v>
      </x:c>
      <x:c r="L155" s="5" t="str">
        <x:v>изображение</x:v>
      </x:c>
      <x:c r="M155" s="7" t="n">
        <x:f>IF(J155="","",ROUND(J155*Tariffs!$D$5,2))</x:f>
        <x:v>10.07</x:v>
      </x:c>
      <x:c r="N155" s="7" t="n">
        <x:f>IF(J155="","",ROUND(J155*Tariffs!$D$6,2))</x:f>
        <x:v>10.08</x:v>
      </x:c>
      <x:c r="O155" s="7" t="n">
        <x:f>IF(J155="","",ROUND(J155*Tariffs!$D$7,2))</x:f>
        <x:v>10.09</x:v>
      </x:c>
      <x:c r="P155" s="5" t="str">
        <x:v>https://neuromia.ru/app/images/midjourney</x:v>
      </x:c>
      <x:c r="Q155" s="8" t="n">
        <x:v>46282.375</x:v>
      </x:c>
      <x:c r="R155" s="5" t="str">
        <x:v>Цена показана до генерации при пустом промпте.</x:v>
      </x:c>
    </x:row>
    <x:row r="156" ht="22" customHeight="1">
      <x:c r="A156" s="5" t="str">
        <x:v>Изображение</x:v>
      </x:c>
      <x:c r="B156" s="5" t="str">
        <x:v>Midjourney</x:v>
      </x:c>
      <x:c r="C156" s="5" t="str">
        <x:v>Текст → изображение</x:v>
      </x:c>
      <x:c r="D156" s="5" t="str">
        <x:v>—</x:v>
      </x:c>
      <x:c r="E156" s="5" t="str">
        <x:v>3:4</x:v>
      </x:c>
      <x:c r="F156" s="5" t="str"/>
      <x:c r="G156" s="5" t="str"/>
      <x:c r="H156" s="5" t="str">
        <x:v>Без исходного файла</x:v>
      </x:c>
      <x:c r="I156" s="6" t="n">
        <x:v>12.11</x:v>
      </x:c>
      <x:c r="J156" s="6" t="n">
        <x:v>12.11</x:v>
      </x:c>
      <x:c r="K156" s="5" t="str">
        <x:v>Точная цена в редакторе</x:v>
      </x:c>
      <x:c r="L156" s="5" t="str">
        <x:v>изображение</x:v>
      </x:c>
      <x:c r="M156" s="7" t="n">
        <x:f>IF(J156="","",ROUND(J156*Tariffs!$D$5,2))</x:f>
        <x:v>10.07</x:v>
      </x:c>
      <x:c r="N156" s="7" t="n">
        <x:f>IF(J156="","",ROUND(J156*Tariffs!$D$6,2))</x:f>
        <x:v>10.08</x:v>
      </x:c>
      <x:c r="O156" s="7" t="n">
        <x:f>IF(J156="","",ROUND(J156*Tariffs!$D$7,2))</x:f>
        <x:v>10.09</x:v>
      </x:c>
      <x:c r="P156" s="5" t="str">
        <x:v>https://neuromia.ru/app/images/midjourney</x:v>
      </x:c>
      <x:c r="Q156" s="8" t="n">
        <x:v>46282.375</x:v>
      </x:c>
      <x:c r="R156" s="5" t="str">
        <x:v>Цена показана до генерации при пустом промпте.</x:v>
      </x:c>
    </x:row>
    <x:row r="157" ht="22" customHeight="1">
      <x:c r="A157" s="5" t="str">
        <x:v>Изображение</x:v>
      </x:c>
      <x:c r="B157" s="5" t="str">
        <x:v>Midjourney</x:v>
      </x:c>
      <x:c r="C157" s="5" t="str">
        <x:v>Текст → изображение</x:v>
      </x:c>
      <x:c r="D157" s="5" t="str">
        <x:v>—</x:v>
      </x:c>
      <x:c r="E157" s="5" t="str">
        <x:v>3:2</x:v>
      </x:c>
      <x:c r="F157" s="5" t="str"/>
      <x:c r="G157" s="5" t="str"/>
      <x:c r="H157" s="5" t="str">
        <x:v>Без исходного файла</x:v>
      </x:c>
      <x:c r="I157" s="6" t="n">
        <x:v>12.11</x:v>
      </x:c>
      <x:c r="J157" s="6" t="n">
        <x:v>12.11</x:v>
      </x:c>
      <x:c r="K157" s="5" t="str">
        <x:v>Точная цена в редакторе</x:v>
      </x:c>
      <x:c r="L157" s="5" t="str">
        <x:v>изображение</x:v>
      </x:c>
      <x:c r="M157" s="7" t="n">
        <x:f>IF(J157="","",ROUND(J157*Tariffs!$D$5,2))</x:f>
        <x:v>10.07</x:v>
      </x:c>
      <x:c r="N157" s="7" t="n">
        <x:f>IF(J157="","",ROUND(J157*Tariffs!$D$6,2))</x:f>
        <x:v>10.08</x:v>
      </x:c>
      <x:c r="O157" s="7" t="n">
        <x:f>IF(J157="","",ROUND(J157*Tariffs!$D$7,2))</x:f>
        <x:v>10.09</x:v>
      </x:c>
      <x:c r="P157" s="5" t="str">
        <x:v>https://neuromia.ru/app/images/midjourney</x:v>
      </x:c>
      <x:c r="Q157" s="8" t="n">
        <x:v>46282.375</x:v>
      </x:c>
      <x:c r="R157" s="5" t="str">
        <x:v>Цена показана до генерации при пустом промпте.</x:v>
      </x:c>
    </x:row>
    <x:row r="158" ht="22" customHeight="1">
      <x:c r="A158" s="5" t="str">
        <x:v>Изображение</x:v>
      </x:c>
      <x:c r="B158" s="5" t="str">
        <x:v>Midjourney</x:v>
      </x:c>
      <x:c r="C158" s="5" t="str">
        <x:v>Текст → изображение</x:v>
      </x:c>
      <x:c r="D158" s="5" t="str">
        <x:v>—</x:v>
      </x:c>
      <x:c r="E158" s="5" t="str">
        <x:v>2:3</x:v>
      </x:c>
      <x:c r="F158" s="5" t="str"/>
      <x:c r="G158" s="5" t="str"/>
      <x:c r="H158" s="5" t="str">
        <x:v>Без исходного файла</x:v>
      </x:c>
      <x:c r="I158" s="6" t="n">
        <x:v>12.11</x:v>
      </x:c>
      <x:c r="J158" s="6" t="n">
        <x:v>12.11</x:v>
      </x:c>
      <x:c r="K158" s="5" t="str">
        <x:v>Точная цена в редакторе</x:v>
      </x:c>
      <x:c r="L158" s="5" t="str">
        <x:v>изображение</x:v>
      </x:c>
      <x:c r="M158" s="7" t="n">
        <x:f>IF(J158="","",ROUND(J158*Tariffs!$D$5,2))</x:f>
        <x:v>10.07</x:v>
      </x:c>
      <x:c r="N158" s="7" t="n">
        <x:f>IF(J158="","",ROUND(J158*Tariffs!$D$6,2))</x:f>
        <x:v>10.08</x:v>
      </x:c>
      <x:c r="O158" s="7" t="n">
        <x:f>IF(J158="","",ROUND(J158*Tariffs!$D$7,2))</x:f>
        <x:v>10.09</x:v>
      </x:c>
      <x:c r="P158" s="5" t="str">
        <x:v>https://neuromia.ru/app/images/midjourney</x:v>
      </x:c>
      <x:c r="Q158" s="8" t="n">
        <x:v>46282.375</x:v>
      </x:c>
      <x:c r="R158" s="5" t="str">
        <x:v>Цена показана до генерации при пустом промпте.</x:v>
      </x:c>
    </x:row>
    <x:row r="159" ht="22" customHeight="1">
      <x:c r="A159" s="5" t="str">
        <x:v>Изображение</x:v>
      </x:c>
      <x:c r="B159" s="5" t="str">
        <x:v>Midjourney</x:v>
      </x:c>
      <x:c r="C159" s="5" t="str">
        <x:v>Текст → изображение</x:v>
      </x:c>
      <x:c r="D159" s="5" t="str">
        <x:v>—</x:v>
      </x:c>
      <x:c r="E159" s="5" t="str">
        <x:v>21:9</x:v>
      </x:c>
      <x:c r="F159" s="5" t="str"/>
      <x:c r="G159" s="5" t="str"/>
      <x:c r="H159" s="5" t="str">
        <x:v>Без исходного файла</x:v>
      </x:c>
      <x:c r="I159" s="6" t="n">
        <x:v>12.11</x:v>
      </x:c>
      <x:c r="J159" s="6" t="n">
        <x:v>12.11</x:v>
      </x:c>
      <x:c r="K159" s="5" t="str">
        <x:v>Точная цена в редакторе</x:v>
      </x:c>
      <x:c r="L159" s="5" t="str">
        <x:v>изображение</x:v>
      </x:c>
      <x:c r="M159" s="7" t="n">
        <x:f>IF(J159="","",ROUND(J159*Tariffs!$D$5,2))</x:f>
        <x:v>10.07</x:v>
      </x:c>
      <x:c r="N159" s="7" t="n">
        <x:f>IF(J159="","",ROUND(J159*Tariffs!$D$6,2))</x:f>
        <x:v>10.08</x:v>
      </x:c>
      <x:c r="O159" s="7" t="n">
        <x:f>IF(J159="","",ROUND(J159*Tariffs!$D$7,2))</x:f>
        <x:v>10.09</x:v>
      </x:c>
      <x:c r="P159" s="5" t="str">
        <x:v>https://neuromia.ru/app/images/midjourney</x:v>
      </x:c>
      <x:c r="Q159" s="8" t="n">
        <x:v>46282.375</x:v>
      </x:c>
      <x:c r="R159" s="5" t="str">
        <x:v>Цена показана до генерации при пустом промпте.</x:v>
      </x:c>
    </x:row>
    <x:row r="160" ht="22" customHeight="1">
      <x:c r="A160" s="5" t="str">
        <x:v>Изображение</x:v>
      </x:c>
      <x:c r="B160" s="5" t="str">
        <x:v>Midjourney</x:v>
      </x:c>
      <x:c r="C160" s="5" t="str">
        <x:v>Текст → изображение</x:v>
      </x:c>
      <x:c r="D160" s="5" t="str">
        <x:v>—</x:v>
      </x:c>
      <x:c r="E160" s="5" t="str">
        <x:v>1:1</x:v>
      </x:c>
      <x:c r="F160" s="5" t="str"/>
      <x:c r="G160" s="5" t="str"/>
      <x:c r="H160" s="5" t="str">
        <x:v>Версия v8.2; 4 варианта</x:v>
      </x:c>
      <x:c r="I160" s="6" t="n">
        <x:v>12.11</x:v>
      </x:c>
      <x:c r="J160" s="6" t="n">
        <x:v>12.11</x:v>
      </x:c>
      <x:c r="K160" s="5" t="str">
        <x:v>Точная цена в редакторе</x:v>
      </x:c>
      <x:c r="L160" s="5" t="str">
        <x:v>запуск (4 варианта)</x:v>
      </x:c>
      <x:c r="M160" s="7" t="n">
        <x:f>IF(J160="","",ROUND(J160*Tariffs!$D$5,2))</x:f>
        <x:v>10.07</x:v>
      </x:c>
      <x:c r="N160" s="7" t="n">
        <x:f>IF(J160="","",ROUND(J160*Tariffs!$D$6,2))</x:f>
        <x:v>10.08</x:v>
      </x:c>
      <x:c r="O160" s="7" t="n">
        <x:f>IF(J160="","",ROUND(J160*Tariffs!$D$7,2))</x:f>
        <x:v>10.09</x:v>
      </x:c>
      <x:c r="P160" s="5" t="str">
        <x:v>https://neuromia.ru/app/images/midjourney</x:v>
      </x:c>
      <x:c r="Q160" s="8" t="n">
        <x:v>46282.375</x:v>
      </x:c>
      <x:c r="R160" s="5" t="str">
        <x:v>В селекторе написано «за картинку»; редактор создаёт 4 варианта.</x:v>
      </x:c>
    </x:row>
    <x:row r="161" ht="22" customHeight="1">
      <x:c r="A161" s="5" t="str">
        <x:v>Изображение</x:v>
      </x:c>
      <x:c r="B161" s="5" t="str">
        <x:v>Midjourney</x:v>
      </x:c>
      <x:c r="C161" s="5" t="str">
        <x:v>Текст → изображение</x:v>
      </x:c>
      <x:c r="D161" s="5" t="str">
        <x:v>—</x:v>
      </x:c>
      <x:c r="E161" s="5" t="str">
        <x:v>1:1</x:v>
      </x:c>
      <x:c r="F161" s="5" t="str"/>
      <x:c r="G161" s="5" t="str"/>
      <x:c r="H161" s="5" t="str">
        <x:v>Версия v8.1; 4 варианта</x:v>
      </x:c>
      <x:c r="I161" s="6" t="n">
        <x:v>12.11</x:v>
      </x:c>
      <x:c r="J161" s="6" t="n">
        <x:v>12.11</x:v>
      </x:c>
      <x:c r="K161" s="5" t="str">
        <x:v>Точная цена в редакторе</x:v>
      </x:c>
      <x:c r="L161" s="5" t="str">
        <x:v>запуск (4 варианта)</x:v>
      </x:c>
      <x:c r="M161" s="7" t="n">
        <x:f>IF(J161="","",ROUND(J161*Tariffs!$D$5,2))</x:f>
        <x:v>10.07</x:v>
      </x:c>
      <x:c r="N161" s="7" t="n">
        <x:f>IF(J161="","",ROUND(J161*Tariffs!$D$6,2))</x:f>
        <x:v>10.08</x:v>
      </x:c>
      <x:c r="O161" s="7" t="n">
        <x:f>IF(J161="","",ROUND(J161*Tariffs!$D$7,2))</x:f>
        <x:v>10.09</x:v>
      </x:c>
      <x:c r="P161" s="5" t="str">
        <x:v>https://neuromia.ru/app/images/midjourney</x:v>
      </x:c>
      <x:c r="Q161" s="8" t="n">
        <x:v>46282.375</x:v>
      </x:c>
      <x:c r="R161" s="5" t="str">
        <x:v>В селекторе написано «за картинку»; редактор создаёт 4 варианта.</x:v>
      </x:c>
    </x:row>
    <x:row r="162" ht="22" customHeight="1">
      <x:c r="A162" s="5" t="str">
        <x:v>Изображение</x:v>
      </x:c>
      <x:c r="B162" s="5" t="str">
        <x:v>Midjourney</x:v>
      </x:c>
      <x:c r="C162" s="5" t="str">
        <x:v>Текст → изображение</x:v>
      </x:c>
      <x:c r="D162" s="5" t="str">
        <x:v>—</x:v>
      </x:c>
      <x:c r="E162" s="5" t="str">
        <x:v>1:1</x:v>
      </x:c>
      <x:c r="F162" s="5" t="str"/>
      <x:c r="G162" s="5" t="str"/>
      <x:c r="H162" s="5" t="str">
        <x:v>Версия v7; 4 варианта</x:v>
      </x:c>
      <x:c r="I162" s="6" t="n">
        <x:v>12.11</x:v>
      </x:c>
      <x:c r="J162" s="6" t="n">
        <x:v>12.11</x:v>
      </x:c>
      <x:c r="K162" s="5" t="str">
        <x:v>Точная цена в редакторе</x:v>
      </x:c>
      <x:c r="L162" s="5" t="str">
        <x:v>запуск (4 варианта)</x:v>
      </x:c>
      <x:c r="M162" s="7" t="n">
        <x:f>IF(J162="","",ROUND(J162*Tariffs!$D$5,2))</x:f>
        <x:v>10.07</x:v>
      </x:c>
      <x:c r="N162" s="7" t="n">
        <x:f>IF(J162="","",ROUND(J162*Tariffs!$D$6,2))</x:f>
        <x:v>10.08</x:v>
      </x:c>
      <x:c r="O162" s="7" t="n">
        <x:f>IF(J162="","",ROUND(J162*Tariffs!$D$7,2))</x:f>
        <x:v>10.09</x:v>
      </x:c>
      <x:c r="P162" s="5" t="str">
        <x:v>https://neuromia.ru/app/images/midjourney</x:v>
      </x:c>
      <x:c r="Q162" s="8" t="n">
        <x:v>46282.375</x:v>
      </x:c>
      <x:c r="R162" s="5" t="str">
        <x:v>В селекторе написано «за картинку»; редактор создаёт 4 варианта.</x:v>
      </x:c>
    </x:row>
    <x:row r="163" ht="22" customHeight="1">
      <x:c r="A163" s="5" t="str">
        <x:v>Изображение</x:v>
      </x:c>
      <x:c r="B163" s="5" t="str">
        <x:v>Midjourney</x:v>
      </x:c>
      <x:c r="C163" s="5" t="str">
        <x:v>Текст → изображение</x:v>
      </x:c>
      <x:c r="D163" s="5" t="str">
        <x:v>—</x:v>
      </x:c>
      <x:c r="E163" s="5" t="str">
        <x:v>1:1</x:v>
      </x:c>
      <x:c r="F163" s="5" t="str"/>
      <x:c r="G163" s="5" t="str"/>
      <x:c r="H163" s="5" t="str">
        <x:v>Версия v6.1; 4 варианта</x:v>
      </x:c>
      <x:c r="I163" s="6" t="n">
        <x:v>12.11</x:v>
      </x:c>
      <x:c r="J163" s="6" t="n">
        <x:v>12.11</x:v>
      </x:c>
      <x:c r="K163" s="5" t="str">
        <x:v>Точная цена в редакторе</x:v>
      </x:c>
      <x:c r="L163" s="5" t="str">
        <x:v>запуск (4 варианта)</x:v>
      </x:c>
      <x:c r="M163" s="7" t="n">
        <x:f>IF(J163="","",ROUND(J163*Tariffs!$D$5,2))</x:f>
        <x:v>10.07</x:v>
      </x:c>
      <x:c r="N163" s="7" t="n">
        <x:f>IF(J163="","",ROUND(J163*Tariffs!$D$6,2))</x:f>
        <x:v>10.08</x:v>
      </x:c>
      <x:c r="O163" s="7" t="n">
        <x:f>IF(J163="","",ROUND(J163*Tariffs!$D$7,2))</x:f>
        <x:v>10.09</x:v>
      </x:c>
      <x:c r="P163" s="5" t="str">
        <x:v>https://neuromia.ru/app/images/midjourney</x:v>
      </x:c>
      <x:c r="Q163" s="8" t="n">
        <x:v>46282.375</x:v>
      </x:c>
      <x:c r="R163" s="5" t="str">
        <x:v>В селекторе написано «за картинку»; редактор создаёт 4 варианта.</x:v>
      </x:c>
    </x:row>
    <x:row r="164" ht="22" customHeight="1">
      <x:c r="A164" s="5" t="str">
        <x:v>Изображение</x:v>
      </x:c>
      <x:c r="B164" s="5" t="str">
        <x:v>Midjourney</x:v>
      </x:c>
      <x:c r="C164" s="5" t="str">
        <x:v>Текст → изображение</x:v>
      </x:c>
      <x:c r="D164" s="5" t="str">
        <x:v>—</x:v>
      </x:c>
      <x:c r="E164" s="5" t="str">
        <x:v>1:1</x:v>
      </x:c>
      <x:c r="F164" s="5" t="str"/>
      <x:c r="G164" s="5" t="str"/>
      <x:c r="H164" s="5" t="str">
        <x:v>Версия v6; 4 варианта</x:v>
      </x:c>
      <x:c r="I164" s="6" t="n">
        <x:v>12.11</x:v>
      </x:c>
      <x:c r="J164" s="6" t="n">
        <x:v>12.11</x:v>
      </x:c>
      <x:c r="K164" s="5" t="str">
        <x:v>Точная цена в редакторе</x:v>
      </x:c>
      <x:c r="L164" s="5" t="str">
        <x:v>запуск (4 варианта)</x:v>
      </x:c>
      <x:c r="M164" s="7" t="n">
        <x:f>IF(J164="","",ROUND(J164*Tariffs!$D$5,2))</x:f>
        <x:v>10.07</x:v>
      </x:c>
      <x:c r="N164" s="7" t="n">
        <x:f>IF(J164="","",ROUND(J164*Tariffs!$D$6,2))</x:f>
        <x:v>10.08</x:v>
      </x:c>
      <x:c r="O164" s="7" t="n">
        <x:f>IF(J164="","",ROUND(J164*Tariffs!$D$7,2))</x:f>
        <x:v>10.09</x:v>
      </x:c>
      <x:c r="P164" s="5" t="str">
        <x:v>https://neuromia.ru/app/images/midjourney</x:v>
      </x:c>
      <x:c r="Q164" s="8" t="n">
        <x:v>46282.375</x:v>
      </x:c>
      <x:c r="R164" s="5" t="str">
        <x:v>В селекторе написано «за картинку»; редактор создаёт 4 варианта.</x:v>
      </x:c>
    </x:row>
    <x:row r="165" ht="22" customHeight="1">
      <x:c r="A165" s="5" t="str">
        <x:v>Изображение</x:v>
      </x:c>
      <x:c r="B165" s="5" t="str">
        <x:v>Midjourney</x:v>
      </x:c>
      <x:c r="C165" s="5" t="str">
        <x:v>Текст → изображение</x:v>
      </x:c>
      <x:c r="D165" s="5" t="str">
        <x:v>—</x:v>
      </x:c>
      <x:c r="E165" s="5" t="str">
        <x:v>1:1</x:v>
      </x:c>
      <x:c r="F165" s="5" t="str"/>
      <x:c r="G165" s="5" t="str"/>
      <x:c r="H165" s="5" t="str">
        <x:v>HD включено</x:v>
      </x:c>
      <x:c r="I165" s="6" t="n">
        <x:v>12.11</x:v>
      </x:c>
      <x:c r="J165" s="6" t="n">
        <x:v>12.11</x:v>
      </x:c>
      <x:c r="K165" s="5" t="str">
        <x:v>Точная цена в редакторе</x:v>
      </x:c>
      <x:c r="L165" s="5" t="str">
        <x:v>запуск (4 варианта)</x:v>
      </x:c>
      <x:c r="M165" s="7" t="n">
        <x:f>IF(J165="","",ROUND(J165*Tariffs!$D$5,2))</x:f>
        <x:v>10.07</x:v>
      </x:c>
      <x:c r="N165" s="7" t="n">
        <x:f>IF(J165="","",ROUND(J165*Tariffs!$D$6,2))</x:f>
        <x:v>10.08</x:v>
      </x:c>
      <x:c r="O165" s="7" t="n">
        <x:f>IF(J165="","",ROUND(J165*Tariffs!$D$7,2))</x:f>
        <x:v>10.09</x:v>
      </x:c>
      <x:c r="P165" s="5" t="str">
        <x:v>https://neuromia.ru/app/images/midjourney</x:v>
      </x:c>
      <x:c r="Q165" s="8" t="n">
        <x:v>46282.375</x:v>
      </x:c>
      <x:c r="R165" s="5" t="str"/>
    </x:row>
    <x:row r="166" ht="22" customHeight="1">
      <x:c r="A166" s="5" t="str">
        <x:v>Изображение</x:v>
      </x:c>
      <x:c r="B166" s="5" t="str">
        <x:v>Midjourney</x:v>
      </x:c>
      <x:c r="C166" s="5" t="str">
        <x:v>Текст → изображение</x:v>
      </x:c>
      <x:c r="D166" s="5" t="str">
        <x:v>—</x:v>
      </x:c>
      <x:c r="E166" s="5" t="str">
        <x:v>1:1</x:v>
      </x:c>
      <x:c r="F166" s="5" t="str"/>
      <x:c r="G166" s="5" t="str"/>
      <x:c r="H166" s="5" t="str">
        <x:v>Raw включено</x:v>
      </x:c>
      <x:c r="I166" s="6" t="n">
        <x:v>12.11</x:v>
      </x:c>
      <x:c r="J166" s="6" t="n">
        <x:v>12.11</x:v>
      </x:c>
      <x:c r="K166" s="5" t="str">
        <x:v>Точная цена в редакторе</x:v>
      </x:c>
      <x:c r="L166" s="5" t="str">
        <x:v>запуск (4 варианта)</x:v>
      </x:c>
      <x:c r="M166" s="7" t="n">
        <x:f>IF(J166="","",ROUND(J166*Tariffs!$D$5,2))</x:f>
        <x:v>10.07</x:v>
      </x:c>
      <x:c r="N166" s="7" t="n">
        <x:f>IF(J166="","",ROUND(J166*Tariffs!$D$6,2))</x:f>
        <x:v>10.08</x:v>
      </x:c>
      <x:c r="O166" s="7" t="n">
        <x:f>IF(J166="","",ROUND(J166*Tariffs!$D$7,2))</x:f>
        <x:v>10.09</x:v>
      </x:c>
      <x:c r="P166" s="5" t="str">
        <x:v>https://neuromia.ru/app/images/midjourney</x:v>
      </x:c>
      <x:c r="Q166" s="8" t="n">
        <x:v>46282.375</x:v>
      </x:c>
      <x:c r="R166" s="5" t="str"/>
    </x:row>
    <x:row r="167" ht="22" customHeight="1">
      <x:c r="A167" s="5" t="str">
        <x:v>Изображение</x:v>
      </x:c>
      <x:c r="B167" s="5" t="str">
        <x:v>Midjourney</x:v>
      </x:c>
      <x:c r="C167" s="5" t="str">
        <x:v>Текст → изображение</x:v>
      </x:c>
      <x:c r="D167" s="5" t="str">
        <x:v>—</x:v>
      </x:c>
      <x:c r="E167" s="5" t="str">
        <x:v>1:1</x:v>
      </x:c>
      <x:c r="F167" s="5" t="str"/>
      <x:c r="G167" s="5" t="str"/>
      <x:c r="H167" s="5" t="str">
        <x:v>Максимальное качество включено</x:v>
      </x:c>
      <x:c r="I167" s="6" t="n">
        <x:v>12.11</x:v>
      </x:c>
      <x:c r="J167" s="6" t="n">
        <x:v>12.11</x:v>
      </x:c>
      <x:c r="K167" s="5" t="str">
        <x:v>Точная цена в редакторе</x:v>
      </x:c>
      <x:c r="L167" s="5" t="str">
        <x:v>запуск (4 варианта)</x:v>
      </x:c>
      <x:c r="M167" s="7" t="n">
        <x:f>IF(J167="","",ROUND(J167*Tariffs!$D$5,2))</x:f>
        <x:v>10.07</x:v>
      </x:c>
      <x:c r="N167" s="7" t="n">
        <x:f>IF(J167="","",ROUND(J167*Tariffs!$D$6,2))</x:f>
        <x:v>10.08</x:v>
      </x:c>
      <x:c r="O167" s="7" t="n">
        <x:f>IF(J167="","",ROUND(J167*Tariffs!$D$7,2))</x:f>
        <x:v>10.09</x:v>
      </x:c>
      <x:c r="P167" s="5" t="str">
        <x:v>https://neuromia.ru/app/images/midjourney</x:v>
      </x:c>
      <x:c r="Q167" s="8" t="n">
        <x:v>46282.375</x:v>
      </x:c>
      <x:c r="R167" s="5" t="str"/>
    </x:row>
    <x:row r="168" ht="22" customHeight="1">
      <x:c r="A168" s="5" t="str">
        <x:v>Изображение</x:v>
      </x:c>
      <x:c r="B168" s="5" t="str">
        <x:v>Midjourney</x:v>
      </x:c>
      <x:c r="C168" s="5" t="str">
        <x:v>Текст → изображение</x:v>
      </x:c>
      <x:c r="D168" s="5" t="str">
        <x:v>—</x:v>
      </x:c>
      <x:c r="E168" s="5" t="str">
        <x:v>1:1</x:v>
      </x:c>
      <x:c r="F168" s="5" t="str"/>
      <x:c r="G168" s="5" t="str"/>
      <x:c r="H168" s="5" t="str">
        <x:v>Плитка включено</x:v>
      </x:c>
      <x:c r="I168" s="6" t="n">
        <x:v>12.11</x:v>
      </x:c>
      <x:c r="J168" s="6" t="n">
        <x:v>12.11</x:v>
      </x:c>
      <x:c r="K168" s="5" t="str">
        <x:v>Точная цена в редакторе</x:v>
      </x:c>
      <x:c r="L168" s="5" t="str">
        <x:v>запуск (4 варианта)</x:v>
      </x:c>
      <x:c r="M168" s="7" t="n">
        <x:f>IF(J168="","",ROUND(J168*Tariffs!$D$5,2))</x:f>
        <x:v>10.07</x:v>
      </x:c>
      <x:c r="N168" s="7" t="n">
        <x:f>IF(J168="","",ROUND(J168*Tariffs!$D$6,2))</x:f>
        <x:v>10.08</x:v>
      </x:c>
      <x:c r="O168" s="7" t="n">
        <x:f>IF(J168="","",ROUND(J168*Tariffs!$D$7,2))</x:f>
        <x:v>10.09</x:v>
      </x:c>
      <x:c r="P168" s="5" t="str">
        <x:v>https://neuromia.ru/app/images/midjourney</x:v>
      </x:c>
      <x:c r="Q168" s="8" t="n">
        <x:v>46282.375</x:v>
      </x:c>
      <x:c r="R168" s="5" t="str"/>
    </x:row>
    <x:row r="169" ht="22" customHeight="1">
      <x:c r="A169" s="5" t="str">
        <x:v>Изображение</x:v>
      </x:c>
      <x:c r="B169" s="5" t="str">
        <x:v>Z-Image</x:v>
      </x:c>
      <x:c r="C169" s="5" t="str">
        <x:v>Текст → изображение</x:v>
      </x:c>
      <x:c r="D169" s="5" t="str">
        <x:v>—</x:v>
      </x:c>
      <x:c r="E169" s="5" t="str">
        <x:v>1:1</x:v>
      </x:c>
      <x:c r="F169" s="5" t="str"/>
      <x:c r="G169" s="5" t="str"/>
      <x:c r="H169" s="5" t="str">
        <x:v>Без исходного файла</x:v>
      </x:c>
      <x:c r="I169" s="6" t="n">
        <x:v>0.88</x:v>
      </x:c>
      <x:c r="J169" s="6" t="n">
        <x:v>0.88</x:v>
      </x:c>
      <x:c r="K169" s="5" t="str">
        <x:v>Точная цена в редакторе</x:v>
      </x:c>
      <x:c r="L169" s="5" t="str">
        <x:v>изображение</x:v>
      </x:c>
      <x:c r="M169" s="7" t="n">
        <x:f>IF(J169="","",ROUND(J169*Tariffs!$D$5,2))</x:f>
        <x:v>0.73</x:v>
      </x:c>
      <x:c r="N169" s="7" t="n">
        <x:f>IF(J169="","",ROUND(J169*Tariffs!$D$6,2))</x:f>
        <x:v>0.73</x:v>
      </x:c>
      <x:c r="O169" s="7" t="n">
        <x:f>IF(J169="","",ROUND(J169*Tariffs!$D$7,2))</x:f>
        <x:v>0.73</x:v>
      </x:c>
      <x:c r="P169" s="5" t="str">
        <x:v>https://neuromia.ru/app/images/z-image</x:v>
      </x:c>
      <x:c r="Q169" s="8" t="n">
        <x:v>46282.375</x:v>
      </x:c>
      <x:c r="R169" s="5" t="str">
        <x:v>Цена показана до генерации при пустом промпте.</x:v>
      </x:c>
    </x:row>
    <x:row r="170" ht="22" customHeight="1">
      <x:c r="A170" s="5" t="str">
        <x:v>Изображение</x:v>
      </x:c>
      <x:c r="B170" s="5" t="str">
        <x:v>Z-Image</x:v>
      </x:c>
      <x:c r="C170" s="5" t="str">
        <x:v>Текст → изображение</x:v>
      </x:c>
      <x:c r="D170" s="5" t="str">
        <x:v>—</x:v>
      </x:c>
      <x:c r="E170" s="5" t="str">
        <x:v>16:9</x:v>
      </x:c>
      <x:c r="F170" s="5" t="str"/>
      <x:c r="G170" s="5" t="str"/>
      <x:c r="H170" s="5" t="str">
        <x:v>Без исходного файла</x:v>
      </x:c>
      <x:c r="I170" s="6" t="n">
        <x:v>0.88</x:v>
      </x:c>
      <x:c r="J170" s="6" t="n">
        <x:v>0.88</x:v>
      </x:c>
      <x:c r="K170" s="5" t="str">
        <x:v>Точная цена в редакторе</x:v>
      </x:c>
      <x:c r="L170" s="5" t="str">
        <x:v>изображение</x:v>
      </x:c>
      <x:c r="M170" s="7" t="n">
        <x:f>IF(J170="","",ROUND(J170*Tariffs!$D$5,2))</x:f>
        <x:v>0.73</x:v>
      </x:c>
      <x:c r="N170" s="7" t="n">
        <x:f>IF(J170="","",ROUND(J170*Tariffs!$D$6,2))</x:f>
        <x:v>0.73</x:v>
      </x:c>
      <x:c r="O170" s="7" t="n">
        <x:f>IF(J170="","",ROUND(J170*Tariffs!$D$7,2))</x:f>
        <x:v>0.73</x:v>
      </x:c>
      <x:c r="P170" s="5" t="str">
        <x:v>https://neuromia.ru/app/images/z-image</x:v>
      </x:c>
      <x:c r="Q170" s="8" t="n">
        <x:v>46282.375</x:v>
      </x:c>
      <x:c r="R170" s="5" t="str">
        <x:v>Цена показана до генерации при пустом промпте.</x:v>
      </x:c>
    </x:row>
    <x:row r="171" ht="22" customHeight="1">
      <x:c r="A171" s="5" t="str">
        <x:v>Изображение</x:v>
      </x:c>
      <x:c r="B171" s="5" t="str">
        <x:v>Z-Image</x:v>
      </x:c>
      <x:c r="C171" s="5" t="str">
        <x:v>Текст → изображение</x:v>
      </x:c>
      <x:c r="D171" s="5" t="str">
        <x:v>—</x:v>
      </x:c>
      <x:c r="E171" s="5" t="str">
        <x:v>9:16</x:v>
      </x:c>
      <x:c r="F171" s="5" t="str"/>
      <x:c r="G171" s="5" t="str"/>
      <x:c r="H171" s="5" t="str">
        <x:v>Без исходного файла</x:v>
      </x:c>
      <x:c r="I171" s="6" t="n">
        <x:v>0.88</x:v>
      </x:c>
      <x:c r="J171" s="6" t="n">
        <x:v>0.88</x:v>
      </x:c>
      <x:c r="K171" s="5" t="str">
        <x:v>Точная цена в редакторе</x:v>
      </x:c>
      <x:c r="L171" s="5" t="str">
        <x:v>изображение</x:v>
      </x:c>
      <x:c r="M171" s="7" t="n">
        <x:f>IF(J171="","",ROUND(J171*Tariffs!$D$5,2))</x:f>
        <x:v>0.73</x:v>
      </x:c>
      <x:c r="N171" s="7" t="n">
        <x:f>IF(J171="","",ROUND(J171*Tariffs!$D$6,2))</x:f>
        <x:v>0.73</x:v>
      </x:c>
      <x:c r="O171" s="7" t="n">
        <x:f>IF(J171="","",ROUND(J171*Tariffs!$D$7,2))</x:f>
        <x:v>0.73</x:v>
      </x:c>
      <x:c r="P171" s="5" t="str">
        <x:v>https://neuromia.ru/app/images/z-image</x:v>
      </x:c>
      <x:c r="Q171" s="8" t="n">
        <x:v>46282.375</x:v>
      </x:c>
      <x:c r="R171" s="5" t="str">
        <x:v>Цена показана до генерации при пустом промпте.</x:v>
      </x:c>
    </x:row>
    <x:row r="172" ht="22" customHeight="1">
      <x:c r="A172" s="5" t="str">
        <x:v>Изображение</x:v>
      </x:c>
      <x:c r="B172" s="5" t="str">
        <x:v>Z-Image</x:v>
      </x:c>
      <x:c r="C172" s="5" t="str">
        <x:v>Текст → изображение</x:v>
      </x:c>
      <x:c r="D172" s="5" t="str">
        <x:v>—</x:v>
      </x:c>
      <x:c r="E172" s="5" t="str">
        <x:v>3:4</x:v>
      </x:c>
      <x:c r="F172" s="5" t="str"/>
      <x:c r="G172" s="5" t="str"/>
      <x:c r="H172" s="5" t="str">
        <x:v>Без исходного файла</x:v>
      </x:c>
      <x:c r="I172" s="6" t="n">
        <x:v>0.88</x:v>
      </x:c>
      <x:c r="J172" s="6" t="n">
        <x:v>0.88</x:v>
      </x:c>
      <x:c r="K172" s="5" t="str">
        <x:v>Точная цена в редакторе</x:v>
      </x:c>
      <x:c r="L172" s="5" t="str">
        <x:v>изображение</x:v>
      </x:c>
      <x:c r="M172" s="7" t="n">
        <x:f>IF(J172="","",ROUND(J172*Tariffs!$D$5,2))</x:f>
        <x:v>0.73</x:v>
      </x:c>
      <x:c r="N172" s="7" t="n">
        <x:f>IF(J172="","",ROUND(J172*Tariffs!$D$6,2))</x:f>
        <x:v>0.73</x:v>
      </x:c>
      <x:c r="O172" s="7" t="n">
        <x:f>IF(J172="","",ROUND(J172*Tariffs!$D$7,2))</x:f>
        <x:v>0.73</x:v>
      </x:c>
      <x:c r="P172" s="5" t="str">
        <x:v>https://neuromia.ru/app/images/z-image</x:v>
      </x:c>
      <x:c r="Q172" s="8" t="n">
        <x:v>46282.375</x:v>
      </x:c>
      <x:c r="R172" s="5" t="str">
        <x:v>Цена показана до генерации при пустом промпте.</x:v>
      </x:c>
    </x:row>
    <x:row r="173" ht="22" customHeight="1">
      <x:c r="A173" s="5" t="str">
        <x:v>Изображение</x:v>
      </x:c>
      <x:c r="B173" s="5" t="str">
        <x:v>Z-Image</x:v>
      </x:c>
      <x:c r="C173" s="5" t="str">
        <x:v>Текст → изображение</x:v>
      </x:c>
      <x:c r="D173" s="5" t="str">
        <x:v>—</x:v>
      </x:c>
      <x:c r="E173" s="5" t="str">
        <x:v>4:3</x:v>
      </x:c>
      <x:c r="F173" s="5" t="str"/>
      <x:c r="G173" s="5" t="str"/>
      <x:c r="H173" s="5" t="str">
        <x:v>Без исходного файла</x:v>
      </x:c>
      <x:c r="I173" s="6" t="n">
        <x:v>0.88</x:v>
      </x:c>
      <x:c r="J173" s="6" t="n">
        <x:v>0.88</x:v>
      </x:c>
      <x:c r="K173" s="5" t="str">
        <x:v>Точная цена в редакторе</x:v>
      </x:c>
      <x:c r="L173" s="5" t="str">
        <x:v>изображение</x:v>
      </x:c>
      <x:c r="M173" s="7" t="n">
        <x:f>IF(J173="","",ROUND(J173*Tariffs!$D$5,2))</x:f>
        <x:v>0.73</x:v>
      </x:c>
      <x:c r="N173" s="7" t="n">
        <x:f>IF(J173="","",ROUND(J173*Tariffs!$D$6,2))</x:f>
        <x:v>0.73</x:v>
      </x:c>
      <x:c r="O173" s="7" t="n">
        <x:f>IF(J173="","",ROUND(J173*Tariffs!$D$7,2))</x:f>
        <x:v>0.73</x:v>
      </x:c>
      <x:c r="P173" s="5" t="str">
        <x:v>https://neuromia.ru/app/images/z-image</x:v>
      </x:c>
      <x:c r="Q173" s="8" t="n">
        <x:v>46282.375</x:v>
      </x:c>
      <x:c r="R173" s="5" t="str">
        <x:v>Цена показана до генерации при пустом промпте.</x:v>
      </x:c>
    </x:row>
    <x:row r="174" ht="22" customHeight="1">
      <x:c r="A174" s="5" t="str">
        <x:v>Видео</x:v>
      </x:c>
      <x:c r="B174" s="5" t="str">
        <x:v>Veo 3.1 Fast</x:v>
      </x:c>
      <x:c r="C174" s="5" t="str">
        <x:v>Текст → видео</x:v>
      </x:c>
      <x:c r="D174" s="5" t="str">
        <x:v>720p</x:v>
      </x:c>
      <x:c r="E174" s="5" t="str">
        <x:v>—</x:v>
      </x:c>
      <x:c r="F174" s="5" t="n">
        <x:v>8</x:v>
      </x:c>
      <x:c r="G174" s="5" t="str">
        <x:v>включен</x:v>
      </x:c>
      <x:c r="H174" s="5" t="str">
        <x:v>Без исходного файла</x:v>
      </x:c>
      <x:c r="I174" s="6" t="n">
        <x:v>66</x:v>
      </x:c>
      <x:c r="J174" s="6" t="n">
        <x:v>66</x:v>
      </x:c>
      <x:c r="K174" s="5" t="str">
        <x:v>Точная цена в редакторе</x:v>
      </x:c>
      <x:c r="L174" s="5" t="str">
        <x:v>видео</x:v>
      </x:c>
      <x:c r="M174" s="7" t="n">
        <x:f>IF(J174="","",ROUND(J174*Tariffs!$D$5,2))</x:f>
        <x:v>54.89</x:v>
      </x:c>
      <x:c r="N174" s="7" t="n">
        <x:f>IF(J174="","",ROUND(J174*Tariffs!$D$6,2))</x:f>
        <x:v>54.95</x:v>
      </x:c>
      <x:c r="O174" s="7" t="n">
        <x:f>IF(J174="","",ROUND(J174*Tariffs!$D$7,2))</x:f>
        <x:v>54.99</x:v>
      </x:c>
      <x:c r="P174" s="5" t="str">
        <x:v>https://neuromia.ru/app/video/veo</x:v>
      </x:c>
      <x:c r="Q174" s="8" t="n">
        <x:v>46282.375</x:v>
      </x:c>
      <x:c r="R174" s="5" t="str"/>
    </x:row>
    <x:row r="175" ht="22" customHeight="1">
      <x:c r="A175" s="5" t="str">
        <x:v>Видео</x:v>
      </x:c>
      <x:c r="B175" s="5" t="str">
        <x:v>Veo 3.1 Fast</x:v>
      </x:c>
      <x:c r="C175" s="5" t="str">
        <x:v>Текст → видео</x:v>
      </x:c>
      <x:c r="D175" s="5" t="str">
        <x:v>1080p</x:v>
      </x:c>
      <x:c r="E175" s="5" t="str">
        <x:v>—</x:v>
      </x:c>
      <x:c r="F175" s="5" t="n">
        <x:v>8</x:v>
      </x:c>
      <x:c r="G175" s="5" t="str">
        <x:v>включен</x:v>
      </x:c>
      <x:c r="H175" s="5" t="str">
        <x:v>Без исходного файла</x:v>
      </x:c>
      <x:c r="I175" s="6" t="n">
        <x:v>71.5</x:v>
      </x:c>
      <x:c r="J175" s="6" t="n">
        <x:v>71.5</x:v>
      </x:c>
      <x:c r="K175" s="5" t="str">
        <x:v>Точная цена в редакторе</x:v>
      </x:c>
      <x:c r="L175" s="5" t="str">
        <x:v>видео</x:v>
      </x:c>
      <x:c r="M175" s="7" t="n">
        <x:f>IF(J175="","",ROUND(J175*Tariffs!$D$5,2))</x:f>
        <x:v>59.46</x:v>
      </x:c>
      <x:c r="N175" s="7" t="n">
        <x:f>IF(J175="","",ROUND(J175*Tariffs!$D$6,2))</x:f>
        <x:v>59.52</x:v>
      </x:c>
      <x:c r="O175" s="7" t="n">
        <x:f>IF(J175="","",ROUND(J175*Tariffs!$D$7,2))</x:f>
        <x:v>59.57</x:v>
      </x:c>
      <x:c r="P175" s="5" t="str">
        <x:v>https://neuromia.ru/app/video/veo</x:v>
      </x:c>
      <x:c r="Q175" s="8" t="n">
        <x:v>46282.375</x:v>
      </x:c>
      <x:c r="R175" s="5" t="str"/>
    </x:row>
    <x:row r="176" ht="22" customHeight="1">
      <x:c r="A176" s="5" t="str">
        <x:v>Видео</x:v>
      </x:c>
      <x:c r="B176" s="5" t="str">
        <x:v>Veo 3.1 Fast</x:v>
      </x:c>
      <x:c r="C176" s="5" t="str">
        <x:v>Текст → видео</x:v>
      </x:c>
      <x:c r="D176" s="5" t="str">
        <x:v>4K</x:v>
      </x:c>
      <x:c r="E176" s="5" t="str">
        <x:v>—</x:v>
      </x:c>
      <x:c r="F176" s="5" t="n">
        <x:v>8</x:v>
      </x:c>
      <x:c r="G176" s="5" t="str">
        <x:v>включен</x:v>
      </x:c>
      <x:c r="H176" s="5" t="str">
        <x:v>Без исходного файла</x:v>
      </x:c>
      <x:c r="I176" s="6" t="n">
        <x:v>198</x:v>
      </x:c>
      <x:c r="J176" s="6" t="n">
        <x:v>198</x:v>
      </x:c>
      <x:c r="K176" s="5" t="str">
        <x:v>Точная цена в редакторе</x:v>
      </x:c>
      <x:c r="L176" s="5" t="str">
        <x:v>видео</x:v>
      </x:c>
      <x:c r="M176" s="7" t="n">
        <x:f>IF(J176="","",ROUND(J176*Tariffs!$D$5,2))</x:f>
        <x:v>164.67</x:v>
      </x:c>
      <x:c r="N176" s="7" t="n">
        <x:f>IF(J176="","",ROUND(J176*Tariffs!$D$6,2))</x:f>
        <x:v>164.84</x:v>
      </x:c>
      <x:c r="O176" s="7" t="n">
        <x:f>IF(J176="","",ROUND(J176*Tariffs!$D$7,2))</x:f>
        <x:v>164.97</x:v>
      </x:c>
      <x:c r="P176" s="5" t="str">
        <x:v>https://neuromia.ru/app/video/veo</x:v>
      </x:c>
      <x:c r="Q176" s="8" t="n">
        <x:v>46282.375</x:v>
      </x:c>
      <x:c r="R176" s="5" t="str"/>
    </x:row>
    <x:row r="177" ht="22" customHeight="1">
      <x:c r="A177" s="5" t="str">
        <x:v>Видео</x:v>
      </x:c>
      <x:c r="B177" s="5" t="str">
        <x:v>Veo 3.1 Lite</x:v>
      </x:c>
      <x:c r="C177" s="5" t="str">
        <x:v>Текст → видео</x:v>
      </x:c>
      <x:c r="D177" s="5" t="str">
        <x:v>720p</x:v>
      </x:c>
      <x:c r="E177" s="5" t="str">
        <x:v>—</x:v>
      </x:c>
      <x:c r="F177" s="5" t="n">
        <x:v>8</x:v>
      </x:c>
      <x:c r="G177" s="5" t="str">
        <x:v>нет переключателя</x:v>
      </x:c>
      <x:c r="H177" s="5" t="str">
        <x:v>Без исходного файла</x:v>
      </x:c>
      <x:c r="I177" s="6" t="n">
        <x:v>33</x:v>
      </x:c>
      <x:c r="J177" s="6" t="n">
        <x:v>33</x:v>
      </x:c>
      <x:c r="K177" s="5" t="str">
        <x:v>Точная цена в редакторе</x:v>
      </x:c>
      <x:c r="L177" s="5" t="str">
        <x:v>видео</x:v>
      </x:c>
      <x:c r="M177" s="7" t="n">
        <x:f>IF(J177="","",ROUND(J177*Tariffs!$D$5,2))</x:f>
        <x:v>27.45</x:v>
      </x:c>
      <x:c r="N177" s="7" t="n">
        <x:f>IF(J177="","",ROUND(J177*Tariffs!$D$6,2))</x:f>
        <x:v>27.47</x:v>
      </x:c>
      <x:c r="O177" s="7" t="n">
        <x:f>IF(J177="","",ROUND(J177*Tariffs!$D$7,2))</x:f>
        <x:v>27.49</x:v>
      </x:c>
      <x:c r="P177" s="5" t="str">
        <x:v>https://neuromia.ru/app/video/veo</x:v>
      </x:c>
      <x:c r="Q177" s="8" t="n">
        <x:v>46282.375</x:v>
      </x:c>
      <x:c r="R177" s="5" t="str"/>
    </x:row>
    <x:row r="178" ht="22" customHeight="1">
      <x:c r="A178" s="5" t="str">
        <x:v>Видео</x:v>
      </x:c>
      <x:c r="B178" s="5" t="str">
        <x:v>Veo 3.1 Lite</x:v>
      </x:c>
      <x:c r="C178" s="5" t="str">
        <x:v>Текст → видео</x:v>
      </x:c>
      <x:c r="D178" s="5" t="str">
        <x:v>1080p</x:v>
      </x:c>
      <x:c r="E178" s="5" t="str">
        <x:v>—</x:v>
      </x:c>
      <x:c r="F178" s="5" t="n">
        <x:v>8</x:v>
      </x:c>
      <x:c r="G178" s="5" t="str">
        <x:v>нет переключателя</x:v>
      </x:c>
      <x:c r="H178" s="5" t="str">
        <x:v>Без исходного файла</x:v>
      </x:c>
      <x:c r="I178" s="6" t="n">
        <x:v>38.5</x:v>
      </x:c>
      <x:c r="J178" s="6" t="n">
        <x:v>38.5</x:v>
      </x:c>
      <x:c r="K178" s="5" t="str">
        <x:v>Точная цена в редакторе</x:v>
      </x:c>
      <x:c r="L178" s="5" t="str">
        <x:v>видео</x:v>
      </x:c>
      <x:c r="M178" s="7" t="n">
        <x:f>IF(J178="","",ROUND(J178*Tariffs!$D$5,2))</x:f>
        <x:v>32.02</x:v>
      </x:c>
      <x:c r="N178" s="7" t="n">
        <x:f>IF(J178="","",ROUND(J178*Tariffs!$D$6,2))</x:f>
        <x:v>32.05</x:v>
      </x:c>
      <x:c r="O178" s="7" t="n">
        <x:f>IF(J178="","",ROUND(J178*Tariffs!$D$7,2))</x:f>
        <x:v>32.08</x:v>
      </x:c>
      <x:c r="P178" s="5" t="str">
        <x:v>https://neuromia.ru/app/video/veo</x:v>
      </x:c>
      <x:c r="Q178" s="8" t="n">
        <x:v>46282.375</x:v>
      </x:c>
      <x:c r="R178" s="5" t="str"/>
    </x:row>
    <x:row r="179" ht="22" customHeight="1">
      <x:c r="A179" s="5" t="str">
        <x:v>Видео</x:v>
      </x:c>
      <x:c r="B179" s="5" t="str">
        <x:v>Veo 3.1 Lite</x:v>
      </x:c>
      <x:c r="C179" s="5" t="str">
        <x:v>Текст → видео</x:v>
      </x:c>
      <x:c r="D179" s="5" t="str">
        <x:v>4K</x:v>
      </x:c>
      <x:c r="E179" s="5" t="str">
        <x:v>—</x:v>
      </x:c>
      <x:c r="F179" s="5" t="n">
        <x:v>8</x:v>
      </x:c>
      <x:c r="G179" s="5" t="str">
        <x:v>нет переключателя</x:v>
      </x:c>
      <x:c r="H179" s="5" t="str">
        <x:v>Без исходного файла</x:v>
      </x:c>
      <x:c r="I179" s="6" t="n">
        <x:v>165</x:v>
      </x:c>
      <x:c r="J179" s="6" t="n">
        <x:v>165</x:v>
      </x:c>
      <x:c r="K179" s="5" t="str">
        <x:v>Точная цена в редакторе</x:v>
      </x:c>
      <x:c r="L179" s="5" t="str">
        <x:v>видео</x:v>
      </x:c>
      <x:c r="M179" s="7" t="n">
        <x:f>IF(J179="","",ROUND(J179*Tariffs!$D$5,2))</x:f>
        <x:v>137.23</x:v>
      </x:c>
      <x:c r="N179" s="7" t="n">
        <x:f>IF(J179="","",ROUND(J179*Tariffs!$D$6,2))</x:f>
        <x:v>137.36</x:v>
      </x:c>
      <x:c r="O179" s="7" t="n">
        <x:f>IF(J179="","",ROUND(J179*Tariffs!$D$7,2))</x:f>
        <x:v>137.47</x:v>
      </x:c>
      <x:c r="P179" s="5" t="str">
        <x:v>https://neuromia.ru/app/video/veo</x:v>
      </x:c>
      <x:c r="Q179" s="8" t="n">
        <x:v>46282.375</x:v>
      </x:c>
      <x:c r="R179" s="5" t="str"/>
    </x:row>
    <x:row r="180" ht="22" customHeight="1">
      <x:c r="A180" s="5" t="str">
        <x:v>Видео</x:v>
      </x:c>
      <x:c r="B180" s="5" t="str">
        <x:v>Veo 3.1</x:v>
      </x:c>
      <x:c r="C180" s="5" t="str">
        <x:v>Текст → видео</x:v>
      </x:c>
      <x:c r="D180" s="5" t="str">
        <x:v>720p</x:v>
      </x:c>
      <x:c r="E180" s="5" t="str">
        <x:v>—</x:v>
      </x:c>
      <x:c r="F180" s="5" t="n">
        <x:v>8</x:v>
      </x:c>
      <x:c r="G180" s="5" t="str">
        <x:v>включен</x:v>
      </x:c>
      <x:c r="H180" s="5" t="str">
        <x:v>Без исходного файла</x:v>
      </x:c>
      <x:c r="I180" s="6" t="n">
        <x:v>275</x:v>
      </x:c>
      <x:c r="J180" s="6" t="n">
        <x:v>275</x:v>
      </x:c>
      <x:c r="K180" s="5" t="str">
        <x:v>Точная цена в редакторе</x:v>
      </x:c>
      <x:c r="L180" s="5" t="str">
        <x:v>видео</x:v>
      </x:c>
      <x:c r="M180" s="7" t="n">
        <x:f>IF(J180="","",ROUND(J180*Tariffs!$D$5,2))</x:f>
        <x:v>228.71</x:v>
      </x:c>
      <x:c r="N180" s="7" t="n">
        <x:f>IF(J180="","",ROUND(J180*Tariffs!$D$6,2))</x:f>
        <x:v>228.94</x:v>
      </x:c>
      <x:c r="O180" s="7" t="n">
        <x:f>IF(J180="","",ROUND(J180*Tariffs!$D$7,2))</x:f>
        <x:v>229.12</x:v>
      </x:c>
      <x:c r="P180" s="5" t="str">
        <x:v>https://neuromia.ru/app/video/veo</x:v>
      </x:c>
      <x:c r="Q180" s="8" t="n">
        <x:v>46282.375</x:v>
      </x:c>
      <x:c r="R180" s="5" t="str"/>
    </x:row>
    <x:row r="181" ht="22" customHeight="1">
      <x:c r="A181" s="5" t="str">
        <x:v>Видео</x:v>
      </x:c>
      <x:c r="B181" s="5" t="str">
        <x:v>Veo 3.1</x:v>
      </x:c>
      <x:c r="C181" s="5" t="str">
        <x:v>Текст → видео</x:v>
      </x:c>
      <x:c r="D181" s="5" t="str">
        <x:v>1080p</x:v>
      </x:c>
      <x:c r="E181" s="5" t="str">
        <x:v>—</x:v>
      </x:c>
      <x:c r="F181" s="5" t="n">
        <x:v>8</x:v>
      </x:c>
      <x:c r="G181" s="5" t="str">
        <x:v>включен</x:v>
      </x:c>
      <x:c r="H181" s="5" t="str">
        <x:v>Без исходного файла</x:v>
      </x:c>
      <x:c r="I181" s="6" t="n">
        <x:v>280.5</x:v>
      </x:c>
      <x:c r="J181" s="6" t="n">
        <x:v>280.5</x:v>
      </x:c>
      <x:c r="K181" s="5" t="str">
        <x:v>Точная цена в редакторе</x:v>
      </x:c>
      <x:c r="L181" s="5" t="str">
        <x:v>видео</x:v>
      </x:c>
      <x:c r="M181" s="7" t="n">
        <x:f>IF(J181="","",ROUND(J181*Tariffs!$D$5,2))</x:f>
        <x:v>233.28</x:v>
      </x:c>
      <x:c r="N181" s="7" t="n">
        <x:f>IF(J181="","",ROUND(J181*Tariffs!$D$6,2))</x:f>
        <x:v>233.52</x:v>
      </x:c>
      <x:c r="O181" s="7" t="n">
        <x:f>IF(J181="","",ROUND(J181*Tariffs!$D$7,2))</x:f>
        <x:v>233.7</x:v>
      </x:c>
      <x:c r="P181" s="5" t="str">
        <x:v>https://neuromia.ru/app/video/veo</x:v>
      </x:c>
      <x:c r="Q181" s="8" t="n">
        <x:v>46282.375</x:v>
      </x:c>
      <x:c r="R181" s="5" t="str"/>
    </x:row>
    <x:row r="182" ht="22" customHeight="1">
      <x:c r="A182" s="5" t="str">
        <x:v>Видео</x:v>
      </x:c>
      <x:c r="B182" s="5" t="str">
        <x:v>Veo 3.1</x:v>
      </x:c>
      <x:c r="C182" s="5" t="str">
        <x:v>Текст → видео</x:v>
      </x:c>
      <x:c r="D182" s="5" t="str">
        <x:v>4K</x:v>
      </x:c>
      <x:c r="E182" s="5" t="str">
        <x:v>—</x:v>
      </x:c>
      <x:c r="F182" s="5" t="n">
        <x:v>8</x:v>
      </x:c>
      <x:c r="G182" s="5" t="str">
        <x:v>включен</x:v>
      </x:c>
      <x:c r="H182" s="5" t="str">
        <x:v>Без исходного файла</x:v>
      </x:c>
      <x:c r="I182" s="6" t="n">
        <x:v>418</x:v>
      </x:c>
      <x:c r="J182" s="6" t="n">
        <x:v>418</x:v>
      </x:c>
      <x:c r="K182" s="5" t="str">
        <x:v>Точная цена в редакторе</x:v>
      </x:c>
      <x:c r="L182" s="5" t="str">
        <x:v>видео</x:v>
      </x:c>
      <x:c r="M182" s="7" t="n">
        <x:f>IF(J182="","",ROUND(J182*Tariffs!$D$5,2))</x:f>
        <x:v>347.64</x:v>
      </x:c>
      <x:c r="N182" s="7" t="n">
        <x:f>IF(J182="","",ROUND(J182*Tariffs!$D$6,2))</x:f>
        <x:v>347.99</x:v>
      </x:c>
      <x:c r="O182" s="7" t="n">
        <x:f>IF(J182="","",ROUND(J182*Tariffs!$D$7,2))</x:f>
        <x:v>348.26</x:v>
      </x:c>
      <x:c r="P182" s="5" t="str">
        <x:v>https://neuromia.ru/app/video/veo</x:v>
      </x:c>
      <x:c r="Q182" s="8" t="n">
        <x:v>46282.375</x:v>
      </x:c>
      <x:c r="R182" s="5" t="str"/>
    </x:row>
    <x:row r="183" ht="22" customHeight="1">
      <x:c r="A183" s="5" t="str">
        <x:v>Видео</x:v>
      </x:c>
      <x:c r="B183" s="5" t="str">
        <x:v>Veo 3.1 Fast</x:v>
      </x:c>
      <x:c r="C183" s="5" t="str">
        <x:v>Текст → видео</x:v>
      </x:c>
      <x:c r="D183" s="5" t="str">
        <x:v>720p</x:v>
      </x:c>
      <x:c r="E183" s="5" t="str">
        <x:v>—</x:v>
      </x:c>
      <x:c r="F183" s="5" t="n">
        <x:v>8</x:v>
      </x:c>
      <x:c r="G183" s="5" t="str">
        <x:v>выключен</x:v>
      </x:c>
      <x:c r="H183" s="5" t="str">
        <x:v>Без исходного файла</x:v>
      </x:c>
      <x:c r="I183" s="6" t="n">
        <x:v>66</x:v>
      </x:c>
      <x:c r="J183" s="6" t="n">
        <x:v>66</x:v>
      </x:c>
      <x:c r="K183" s="5" t="str">
        <x:v>Точная цена в редакторе</x:v>
      </x:c>
      <x:c r="L183" s="5" t="str">
        <x:v>видео</x:v>
      </x:c>
      <x:c r="M183" s="7" t="n">
        <x:f>IF(J183="","",ROUND(J183*Tariffs!$D$5,2))</x:f>
        <x:v>54.89</x:v>
      </x:c>
      <x:c r="N183" s="7" t="n">
        <x:f>IF(J183="","",ROUND(J183*Tariffs!$D$6,2))</x:f>
        <x:v>54.95</x:v>
      </x:c>
      <x:c r="O183" s="7" t="n">
        <x:f>IF(J183="","",ROUND(J183*Tariffs!$D$7,2))</x:f>
        <x:v>54.99</x:v>
      </x:c>
      <x:c r="P183" s="5" t="str">
        <x:v>https://neuromia.ru/app/video/veo</x:v>
      </x:c>
      <x:c r="Q183" s="8" t="n">
        <x:v>46282.375</x:v>
      </x:c>
      <x:c r="R183" s="5" t="str"/>
    </x:row>
    <x:row r="184" ht="22" customHeight="1">
      <x:c r="A184" s="5" t="str">
        <x:v>Видео</x:v>
      </x:c>
      <x:c r="B184" s="5" t="str">
        <x:v>Veo 3.1 Fast</x:v>
      </x:c>
      <x:c r="C184" s="5" t="str">
        <x:v>Текст → видео</x:v>
      </x:c>
      <x:c r="D184" s="5" t="str">
        <x:v>1080p</x:v>
      </x:c>
      <x:c r="E184" s="5" t="str">
        <x:v>—</x:v>
      </x:c>
      <x:c r="F184" s="5" t="n">
        <x:v>8</x:v>
      </x:c>
      <x:c r="G184" s="5" t="str">
        <x:v>выключен</x:v>
      </x:c>
      <x:c r="H184" s="5" t="str">
        <x:v>Без исходного файла</x:v>
      </x:c>
      <x:c r="I184" s="6" t="n">
        <x:v>71.5</x:v>
      </x:c>
      <x:c r="J184" s="6" t="n">
        <x:v>71.5</x:v>
      </x:c>
      <x:c r="K184" s="5" t="str">
        <x:v>Точная цена в редакторе</x:v>
      </x:c>
      <x:c r="L184" s="5" t="str">
        <x:v>видео</x:v>
      </x:c>
      <x:c r="M184" s="7" t="n">
        <x:f>IF(J184="","",ROUND(J184*Tariffs!$D$5,2))</x:f>
        <x:v>59.46</x:v>
      </x:c>
      <x:c r="N184" s="7" t="n">
        <x:f>IF(J184="","",ROUND(J184*Tariffs!$D$6,2))</x:f>
        <x:v>59.52</x:v>
      </x:c>
      <x:c r="O184" s="7" t="n">
        <x:f>IF(J184="","",ROUND(J184*Tariffs!$D$7,2))</x:f>
        <x:v>59.57</x:v>
      </x:c>
      <x:c r="P184" s="5" t="str">
        <x:v>https://neuromia.ru/app/video/veo</x:v>
      </x:c>
      <x:c r="Q184" s="8" t="n">
        <x:v>46282.375</x:v>
      </x:c>
      <x:c r="R184" s="5" t="str"/>
    </x:row>
    <x:row r="185" ht="22" customHeight="1">
      <x:c r="A185" s="5" t="str">
        <x:v>Видео</x:v>
      </x:c>
      <x:c r="B185" s="5" t="str">
        <x:v>Veo 3.1 Fast</x:v>
      </x:c>
      <x:c r="C185" s="5" t="str">
        <x:v>Текст → видео</x:v>
      </x:c>
      <x:c r="D185" s="5" t="str">
        <x:v>4K</x:v>
      </x:c>
      <x:c r="E185" s="5" t="str">
        <x:v>—</x:v>
      </x:c>
      <x:c r="F185" s="5" t="n">
        <x:v>8</x:v>
      </x:c>
      <x:c r="G185" s="5" t="str">
        <x:v>выключен</x:v>
      </x:c>
      <x:c r="H185" s="5" t="str">
        <x:v>Без исходного файла</x:v>
      </x:c>
      <x:c r="I185" s="6" t="n">
        <x:v>198</x:v>
      </x:c>
      <x:c r="J185" s="6" t="n">
        <x:v>198</x:v>
      </x:c>
      <x:c r="K185" s="5" t="str">
        <x:v>Точная цена в редакторе</x:v>
      </x:c>
      <x:c r="L185" s="5" t="str">
        <x:v>видео</x:v>
      </x:c>
      <x:c r="M185" s="7" t="n">
        <x:f>IF(J185="","",ROUND(J185*Tariffs!$D$5,2))</x:f>
        <x:v>164.67</x:v>
      </x:c>
      <x:c r="N185" s="7" t="n">
        <x:f>IF(J185="","",ROUND(J185*Tariffs!$D$6,2))</x:f>
        <x:v>164.84</x:v>
      </x:c>
      <x:c r="O185" s="7" t="n">
        <x:f>IF(J185="","",ROUND(J185*Tariffs!$D$7,2))</x:f>
        <x:v>164.97</x:v>
      </x:c>
      <x:c r="P185" s="5" t="str">
        <x:v>https://neuromia.ru/app/video/veo</x:v>
      </x:c>
      <x:c r="Q185" s="8" t="n">
        <x:v>46282.375</x:v>
      </x:c>
      <x:c r="R185" s="5" t="str"/>
    </x:row>
    <x:row r="186" ht="22" customHeight="1">
      <x:c r="A186" s="5" t="str">
        <x:v>Видео</x:v>
      </x:c>
      <x:c r="B186" s="5" t="str">
        <x:v>Veo 3.1</x:v>
      </x:c>
      <x:c r="C186" s="5" t="str">
        <x:v>Текст → видео</x:v>
      </x:c>
      <x:c r="D186" s="5" t="str">
        <x:v>4K</x:v>
      </x:c>
      <x:c r="E186" s="5" t="str">
        <x:v>—</x:v>
      </x:c>
      <x:c r="F186" s="5" t="n">
        <x:v>8</x:v>
      </x:c>
      <x:c r="G186" s="5" t="str">
        <x:v>выключен</x:v>
      </x:c>
      <x:c r="H186" s="5" t="str">
        <x:v>Без исходного файла</x:v>
      </x:c>
      <x:c r="I186" s="6" t="n">
        <x:v>418</x:v>
      </x:c>
      <x:c r="J186" s="6" t="n">
        <x:v>418</x:v>
      </x:c>
      <x:c r="K186" s="5" t="str">
        <x:v>Точная цена в редакторе</x:v>
      </x:c>
      <x:c r="L186" s="5" t="str">
        <x:v>видео</x:v>
      </x:c>
      <x:c r="M186" s="7" t="n">
        <x:f>IF(J186="","",ROUND(J186*Tariffs!$D$5,2))</x:f>
        <x:v>347.64</x:v>
      </x:c>
      <x:c r="N186" s="7" t="n">
        <x:f>IF(J186="","",ROUND(J186*Tariffs!$D$6,2))</x:f>
        <x:v>347.99</x:v>
      </x:c>
      <x:c r="O186" s="7" t="n">
        <x:f>IF(J186="","",ROUND(J186*Tariffs!$D$7,2))</x:f>
        <x:v>348.26</x:v>
      </x:c>
      <x:c r="P186" s="5" t="str">
        <x:v>https://neuromia.ru/app/video/veo</x:v>
      </x:c>
      <x:c r="Q186" s="8" t="n">
        <x:v>46282.375</x:v>
      </x:c>
      <x:c r="R186" s="5" t="str"/>
    </x:row>
    <x:row r="187" ht="22" customHeight="1">
      <x:c r="A187" s="5" t="str">
        <x:v>Видео</x:v>
      </x:c>
      <x:c r="B187" s="5" t="str">
        <x:v>Sora 2</x:v>
      </x:c>
      <x:c r="C187" s="5" t="str">
        <x:v>Текст → видео</x:v>
      </x:c>
      <x:c r="D187" s="5" t="str">
        <x:v>—</x:v>
      </x:c>
      <x:c r="E187" s="5" t="str">
        <x:v>—</x:v>
      </x:c>
      <x:c r="F187" s="5" t="n">
        <x:v>4</x:v>
      </x:c>
      <x:c r="G187" s="5" t="str">
        <x:v>—</x:v>
      </x:c>
      <x:c r="H187" s="5" t="str">
        <x:v>Без исходного файла</x:v>
      </x:c>
      <x:c r="I187" s="6" t="n">
        <x:v>70.4</x:v>
      </x:c>
      <x:c r="J187" s="6" t="n">
        <x:v>70.4</x:v>
      </x:c>
      <x:c r="K187" s="5" t="str">
        <x:v>Точная цена в редакторе</x:v>
      </x:c>
      <x:c r="L187" s="5" t="str">
        <x:v>видео</x:v>
      </x:c>
      <x:c r="M187" s="7" t="n">
        <x:f>IF(J187="","",ROUND(J187*Tariffs!$D$5,2))</x:f>
        <x:v>58.55</x:v>
      </x:c>
      <x:c r="N187" s="7" t="n">
        <x:f>IF(J187="","",ROUND(J187*Tariffs!$D$6,2))</x:f>
        <x:v>58.61</x:v>
      </x:c>
      <x:c r="O187" s="7" t="n">
        <x:f>IF(J187="","",ROUND(J187*Tariffs!$D$7,2))</x:f>
        <x:v>58.65</x:v>
      </x:c>
      <x:c r="P187" s="5" t="str">
        <x:v>https://neuromia.ru/app/video/sora</x:v>
      </x:c>
      <x:c r="Q187" s="8" t="n">
        <x:v>46282.375</x:v>
      </x:c>
      <x:c r="R187" s="5" t="str"/>
    </x:row>
    <x:row r="188" ht="22" customHeight="1">
      <x:c r="A188" s="5" t="str">
        <x:v>Видео</x:v>
      </x:c>
      <x:c r="B188" s="5" t="str">
        <x:v>Sora 2</x:v>
      </x:c>
      <x:c r="C188" s="5" t="str">
        <x:v>Текст → видео</x:v>
      </x:c>
      <x:c r="D188" s="5" t="str">
        <x:v>—</x:v>
      </x:c>
      <x:c r="E188" s="5" t="str">
        <x:v>—</x:v>
      </x:c>
      <x:c r="F188" s="5" t="n">
        <x:v>8</x:v>
      </x:c>
      <x:c r="G188" s="5" t="str">
        <x:v>—</x:v>
      </x:c>
      <x:c r="H188" s="5" t="str">
        <x:v>Без исходного файла</x:v>
      </x:c>
      <x:c r="I188" s="6" t="n">
        <x:v>140.8</x:v>
      </x:c>
      <x:c r="J188" s="6" t="n">
        <x:v>140.8</x:v>
      </x:c>
      <x:c r="K188" s="5" t="str">
        <x:v>Точная цена в редакторе</x:v>
      </x:c>
      <x:c r="L188" s="5" t="str">
        <x:v>видео</x:v>
      </x:c>
      <x:c r="M188" s="7" t="n">
        <x:f>IF(J188="","",ROUND(J188*Tariffs!$D$5,2))</x:f>
        <x:v>117.1</x:v>
      </x:c>
      <x:c r="N188" s="7" t="n">
        <x:f>IF(J188="","",ROUND(J188*Tariffs!$D$6,2))</x:f>
        <x:v>117.22</x:v>
      </x:c>
      <x:c r="O188" s="7" t="n">
        <x:f>IF(J188="","",ROUND(J188*Tariffs!$D$7,2))</x:f>
        <x:v>117.31</x:v>
      </x:c>
      <x:c r="P188" s="5" t="str">
        <x:v>https://neuromia.ru/app/video/sora</x:v>
      </x:c>
      <x:c r="Q188" s="8" t="n">
        <x:v>46282.375</x:v>
      </x:c>
      <x:c r="R188" s="5" t="str"/>
    </x:row>
    <x:row r="189" ht="22" customHeight="1">
      <x:c r="A189" s="5" t="str">
        <x:v>Видео</x:v>
      </x:c>
      <x:c r="B189" s="5" t="str">
        <x:v>Sora 2</x:v>
      </x:c>
      <x:c r="C189" s="5" t="str">
        <x:v>Текст → видео</x:v>
      </x:c>
      <x:c r="D189" s="5" t="str">
        <x:v>—</x:v>
      </x:c>
      <x:c r="E189" s="5" t="str">
        <x:v>—</x:v>
      </x:c>
      <x:c r="F189" s="5" t="n">
        <x:v>12</x:v>
      </x:c>
      <x:c r="G189" s="5" t="str">
        <x:v>—</x:v>
      </x:c>
      <x:c r="H189" s="5" t="str">
        <x:v>Без исходного файла</x:v>
      </x:c>
      <x:c r="I189" s="6" t="n">
        <x:v>211.2</x:v>
      </x:c>
      <x:c r="J189" s="6" t="n">
        <x:v>211.2</x:v>
      </x:c>
      <x:c r="K189" s="5" t="str">
        <x:v>Точная цена в редакторе</x:v>
      </x:c>
      <x:c r="L189" s="5" t="str">
        <x:v>видео</x:v>
      </x:c>
      <x:c r="M189" s="7" t="n">
        <x:f>IF(J189="","",ROUND(J189*Tariffs!$D$5,2))</x:f>
        <x:v>175.65</x:v>
      </x:c>
      <x:c r="N189" s="7" t="n">
        <x:f>IF(J189="","",ROUND(J189*Tariffs!$D$6,2))</x:f>
        <x:v>175.82</x:v>
      </x:c>
      <x:c r="O189" s="7" t="n">
        <x:f>IF(J189="","",ROUND(J189*Tariffs!$D$7,2))</x:f>
        <x:v>175.96</x:v>
      </x:c>
      <x:c r="P189" s="5" t="str">
        <x:v>https://neuromia.ru/app/video/sora</x:v>
      </x:c>
      <x:c r="Q189" s="8" t="n">
        <x:v>46282.375</x:v>
      </x:c>
      <x:c r="R189" s="5" t="str"/>
    </x:row>
    <x:row r="190" ht="22" customHeight="1">
      <x:c r="A190" s="5" t="str">
        <x:v>Видео</x:v>
      </x:c>
      <x:c r="B190" s="5" t="str">
        <x:v>Sora 2</x:v>
      </x:c>
      <x:c r="C190" s="5" t="str">
        <x:v>Текст → видео</x:v>
      </x:c>
      <x:c r="D190" s="5" t="str">
        <x:v>—</x:v>
      </x:c>
      <x:c r="E190" s="5" t="str">
        <x:v>—</x:v>
      </x:c>
      <x:c r="F190" s="5" t="n">
        <x:v>16</x:v>
      </x:c>
      <x:c r="G190" s="5" t="str">
        <x:v>—</x:v>
      </x:c>
      <x:c r="H190" s="5" t="str">
        <x:v>Без исходного файла</x:v>
      </x:c>
      <x:c r="I190" s="6" t="n">
        <x:v>281.6</x:v>
      </x:c>
      <x:c r="J190" s="6" t="n">
        <x:v>281.6</x:v>
      </x:c>
      <x:c r="K190" s="5" t="str">
        <x:v>Точная цена в редакторе</x:v>
      </x:c>
      <x:c r="L190" s="5" t="str">
        <x:v>видео</x:v>
      </x:c>
      <x:c r="M190" s="7" t="n">
        <x:f>IF(J190="","",ROUND(J190*Tariffs!$D$5,2))</x:f>
        <x:v>234.2</x:v>
      </x:c>
      <x:c r="N190" s="7" t="n">
        <x:f>IF(J190="","",ROUND(J190*Tariffs!$D$6,2))</x:f>
        <x:v>234.43</x:v>
      </x:c>
      <x:c r="O190" s="7" t="n">
        <x:f>IF(J190="","",ROUND(J190*Tariffs!$D$7,2))</x:f>
        <x:v>234.62</x:v>
      </x:c>
      <x:c r="P190" s="5" t="str">
        <x:v>https://neuromia.ru/app/video/sora</x:v>
      </x:c>
      <x:c r="Q190" s="8" t="n">
        <x:v>46282.375</x:v>
      </x:c>
      <x:c r="R190" s="5" t="str"/>
    </x:row>
    <x:row r="191" ht="22" customHeight="1">
      <x:c r="A191" s="5" t="str">
        <x:v>Видео</x:v>
      </x:c>
      <x:c r="B191" s="5" t="str">
        <x:v>Sora 2</x:v>
      </x:c>
      <x:c r="C191" s="5" t="str">
        <x:v>Текст → видео</x:v>
      </x:c>
      <x:c r="D191" s="5" t="str">
        <x:v>—</x:v>
      </x:c>
      <x:c r="E191" s="5" t="str">
        <x:v>—</x:v>
      </x:c>
      <x:c r="F191" s="5" t="n">
        <x:v>20</x:v>
      </x:c>
      <x:c r="G191" s="5" t="str">
        <x:v>—</x:v>
      </x:c>
      <x:c r="H191" s="5" t="str">
        <x:v>Без исходного файла</x:v>
      </x:c>
      <x:c r="I191" s="6" t="n">
        <x:v>352</x:v>
      </x:c>
      <x:c r="J191" s="6" t="n">
        <x:v>352</x:v>
      </x:c>
      <x:c r="K191" s="5" t="str">
        <x:v>Точная цена в редакторе</x:v>
      </x:c>
      <x:c r="L191" s="5" t="str">
        <x:v>видео</x:v>
      </x:c>
      <x:c r="M191" s="7" t="n">
        <x:f>IF(J191="","",ROUND(J191*Tariffs!$D$5,2))</x:f>
        <x:v>292.75</x:v>
      </x:c>
      <x:c r="N191" s="7" t="n">
        <x:f>IF(J191="","",ROUND(J191*Tariffs!$D$6,2))</x:f>
        <x:v>293.04</x:v>
      </x:c>
      <x:c r="O191" s="7" t="n">
        <x:f>IF(J191="","",ROUND(J191*Tariffs!$D$7,2))</x:f>
        <x:v>293.27</x:v>
      </x:c>
      <x:c r="P191" s="5" t="str">
        <x:v>https://neuromia.ru/app/video/sora</x:v>
      </x:c>
      <x:c r="Q191" s="8" t="n">
        <x:v>46282.375</x:v>
      </x:c>
      <x:c r="R191" s="5" t="str"/>
    </x:row>
    <x:row r="192" ht="22" customHeight="1">
      <x:c r="A192" s="5" t="str">
        <x:v>Видео</x:v>
      </x:c>
      <x:c r="B192" s="5" t="str">
        <x:v>Sora 2 Pro</x:v>
      </x:c>
      <x:c r="C192" s="5" t="str">
        <x:v>Текст → видео</x:v>
      </x:c>
      <x:c r="D192" s="5" t="str">
        <x:v>720p</x:v>
      </x:c>
      <x:c r="E192" s="5" t="str">
        <x:v>—</x:v>
      </x:c>
      <x:c r="F192" s="5" t="n">
        <x:v>4</x:v>
      </x:c>
      <x:c r="G192" s="5" t="str">
        <x:v>—</x:v>
      </x:c>
      <x:c r="H192" s="5" t="str">
        <x:v>Без исходного файла</x:v>
      </x:c>
      <x:c r="I192" s="6" t="n">
        <x:v>211.2</x:v>
      </x:c>
      <x:c r="J192" s="6" t="n">
        <x:v>211.2</x:v>
      </x:c>
      <x:c r="K192" s="5" t="str">
        <x:v>Точная цена в редакторе</x:v>
      </x:c>
      <x:c r="L192" s="5" t="str">
        <x:v>видео</x:v>
      </x:c>
      <x:c r="M192" s="7" t="n">
        <x:f>IF(J192="","",ROUND(J192*Tariffs!$D$5,2))</x:f>
        <x:v>175.65</x:v>
      </x:c>
      <x:c r="N192" s="7" t="n">
        <x:f>IF(J192="","",ROUND(J192*Tariffs!$D$6,2))</x:f>
        <x:v>175.82</x:v>
      </x:c>
      <x:c r="O192" s="7" t="n">
        <x:f>IF(J192="","",ROUND(J192*Tariffs!$D$7,2))</x:f>
        <x:v>175.96</x:v>
      </x:c>
      <x:c r="P192" s="5" t="str">
        <x:v>https://neuromia.ru/app/video/sora</x:v>
      </x:c>
      <x:c r="Q192" s="8" t="n">
        <x:v>46282.375</x:v>
      </x:c>
      <x:c r="R192" s="5" t="str"/>
    </x:row>
    <x:row r="193" ht="22" customHeight="1">
      <x:c r="A193" s="5" t="str">
        <x:v>Видео</x:v>
      </x:c>
      <x:c r="B193" s="5" t="str">
        <x:v>Sora 2 Pro</x:v>
      </x:c>
      <x:c r="C193" s="5" t="str">
        <x:v>Текст → видео</x:v>
      </x:c>
      <x:c r="D193" s="5" t="str">
        <x:v>720p</x:v>
      </x:c>
      <x:c r="E193" s="5" t="str">
        <x:v>—</x:v>
      </x:c>
      <x:c r="F193" s="5" t="n">
        <x:v>8</x:v>
      </x:c>
      <x:c r="G193" s="5" t="str">
        <x:v>—</x:v>
      </x:c>
      <x:c r="H193" s="5" t="str">
        <x:v>Без исходного файла</x:v>
      </x:c>
      <x:c r="I193" s="6" t="n">
        <x:v>422.4</x:v>
      </x:c>
      <x:c r="J193" s="6" t="n">
        <x:v>422.4</x:v>
      </x:c>
      <x:c r="K193" s="5" t="str">
        <x:v>Точная цена в редакторе</x:v>
      </x:c>
      <x:c r="L193" s="5" t="str">
        <x:v>видео</x:v>
      </x:c>
      <x:c r="M193" s="7" t="n">
        <x:f>IF(J193="","",ROUND(J193*Tariffs!$D$5,2))</x:f>
        <x:v>351.3</x:v>
      </x:c>
      <x:c r="N193" s="7" t="n">
        <x:f>IF(J193="","",ROUND(J193*Tariffs!$D$6,2))</x:f>
        <x:v>351.65</x:v>
      </x:c>
      <x:c r="O193" s="7" t="n">
        <x:f>IF(J193="","",ROUND(J193*Tariffs!$D$7,2))</x:f>
        <x:v>351.93</x:v>
      </x:c>
      <x:c r="P193" s="5" t="str">
        <x:v>https://neuromia.ru/app/video/sora</x:v>
      </x:c>
      <x:c r="Q193" s="8" t="n">
        <x:v>46282.375</x:v>
      </x:c>
      <x:c r="R193" s="5" t="str"/>
    </x:row>
    <x:row r="194" ht="22" customHeight="1">
      <x:c r="A194" s="5" t="str">
        <x:v>Видео</x:v>
      </x:c>
      <x:c r="B194" s="5" t="str">
        <x:v>Sora 2 Pro</x:v>
      </x:c>
      <x:c r="C194" s="5" t="str">
        <x:v>Текст → видео</x:v>
      </x:c>
      <x:c r="D194" s="5" t="str">
        <x:v>720p</x:v>
      </x:c>
      <x:c r="E194" s="5" t="str">
        <x:v>—</x:v>
      </x:c>
      <x:c r="F194" s="5" t="n">
        <x:v>12</x:v>
      </x:c>
      <x:c r="G194" s="5" t="str">
        <x:v>—</x:v>
      </x:c>
      <x:c r="H194" s="5" t="str">
        <x:v>Без исходного файла</x:v>
      </x:c>
      <x:c r="I194" s="6" t="n">
        <x:v>633.6</x:v>
      </x:c>
      <x:c r="J194" s="6" t="n">
        <x:v>633.6</x:v>
      </x:c>
      <x:c r="K194" s="5" t="str">
        <x:v>Точная цена в редакторе</x:v>
      </x:c>
      <x:c r="L194" s="5" t="str">
        <x:v>видео</x:v>
      </x:c>
      <x:c r="M194" s="7" t="n">
        <x:f>IF(J194="","",ROUND(J194*Tariffs!$D$5,2))</x:f>
        <x:v>526.94</x:v>
      </x:c>
      <x:c r="N194" s="7" t="n">
        <x:f>IF(J194="","",ROUND(J194*Tariffs!$D$6,2))</x:f>
        <x:v>527.47</x:v>
      </x:c>
      <x:c r="O194" s="7" t="n">
        <x:f>IF(J194="","",ROUND(J194*Tariffs!$D$7,2))</x:f>
        <x:v>527.89</x:v>
      </x:c>
      <x:c r="P194" s="5" t="str">
        <x:v>https://neuromia.ru/app/video/sora</x:v>
      </x:c>
      <x:c r="Q194" s="8" t="n">
        <x:v>46282.375</x:v>
      </x:c>
      <x:c r="R194" s="5" t="str"/>
    </x:row>
    <x:row r="195" ht="22" customHeight="1">
      <x:c r="A195" s="5" t="str">
        <x:v>Видео</x:v>
      </x:c>
      <x:c r="B195" s="5" t="str">
        <x:v>Sora 2 Pro</x:v>
      </x:c>
      <x:c r="C195" s="5" t="str">
        <x:v>Текст → видео</x:v>
      </x:c>
      <x:c r="D195" s="5" t="str">
        <x:v>720p</x:v>
      </x:c>
      <x:c r="E195" s="5" t="str">
        <x:v>—</x:v>
      </x:c>
      <x:c r="F195" s="5" t="n">
        <x:v>16</x:v>
      </x:c>
      <x:c r="G195" s="5" t="str">
        <x:v>—</x:v>
      </x:c>
      <x:c r="H195" s="5" t="str">
        <x:v>Без исходного файла</x:v>
      </x:c>
      <x:c r="I195" s="6" t="n">
        <x:v>844.8</x:v>
      </x:c>
      <x:c r="J195" s="6" t="n">
        <x:v>844.8</x:v>
      </x:c>
      <x:c r="K195" s="5" t="str">
        <x:v>Точная цена в редакторе</x:v>
      </x:c>
      <x:c r="L195" s="5" t="str">
        <x:v>видео</x:v>
      </x:c>
      <x:c r="M195" s="7" t="n">
        <x:f>IF(J195="","",ROUND(J195*Tariffs!$D$5,2))</x:f>
        <x:v>702.59</x:v>
      </x:c>
      <x:c r="N195" s="7" t="n">
        <x:f>IF(J195="","",ROUND(J195*Tariffs!$D$6,2))</x:f>
        <x:v>703.3</x:v>
      </x:c>
      <x:c r="O195" s="7" t="n">
        <x:f>IF(J195="","",ROUND(J195*Tariffs!$D$7,2))</x:f>
        <x:v>703.86</x:v>
      </x:c>
      <x:c r="P195" s="5" t="str">
        <x:v>https://neuromia.ru/app/video/sora</x:v>
      </x:c>
      <x:c r="Q195" s="8" t="n">
        <x:v>46282.375</x:v>
      </x:c>
      <x:c r="R195" s="5" t="str"/>
    </x:row>
    <x:row r="196" ht="22" customHeight="1">
      <x:c r="A196" s="5" t="str">
        <x:v>Видео</x:v>
      </x:c>
      <x:c r="B196" s="5" t="str">
        <x:v>Sora 2 Pro</x:v>
      </x:c>
      <x:c r="C196" s="5" t="str">
        <x:v>Текст → видео</x:v>
      </x:c>
      <x:c r="D196" s="5" t="str">
        <x:v>720p</x:v>
      </x:c>
      <x:c r="E196" s="5" t="str">
        <x:v>—</x:v>
      </x:c>
      <x:c r="F196" s="5" t="n">
        <x:v>20</x:v>
      </x:c>
      <x:c r="G196" s="5" t="str">
        <x:v>—</x:v>
      </x:c>
      <x:c r="H196" s="5" t="str">
        <x:v>Без исходного файла</x:v>
      </x:c>
      <x:c r="I196" s="6" t="n">
        <x:v>1056</x:v>
      </x:c>
      <x:c r="J196" s="6" t="n">
        <x:v>1056</x:v>
      </x:c>
      <x:c r="K196" s="5" t="str">
        <x:v>Точная цена в редакторе</x:v>
      </x:c>
      <x:c r="L196" s="5" t="str">
        <x:v>видео</x:v>
      </x:c>
      <x:c r="M196" s="7" t="n">
        <x:f>IF(J196="","",ROUND(J196*Tariffs!$D$5,2))</x:f>
        <x:v>878.24</x:v>
      </x:c>
      <x:c r="N196" s="7" t="n">
        <x:f>IF(J196="","",ROUND(J196*Tariffs!$D$6,2))</x:f>
        <x:v>879.12</x:v>
      </x:c>
      <x:c r="O196" s="7" t="n">
        <x:f>IF(J196="","",ROUND(J196*Tariffs!$D$7,2))</x:f>
        <x:v>879.82</x:v>
      </x:c>
      <x:c r="P196" s="5" t="str">
        <x:v>https://neuromia.ru/app/video/sora</x:v>
      </x:c>
      <x:c r="Q196" s="8" t="n">
        <x:v>46282.375</x:v>
      </x:c>
      <x:c r="R196" s="5" t="str"/>
    </x:row>
    <x:row r="197" ht="22" customHeight="1">
      <x:c r="A197" s="5" t="str">
        <x:v>Видео</x:v>
      </x:c>
      <x:c r="B197" s="5" t="str">
        <x:v>Sora 2 Pro</x:v>
      </x:c>
      <x:c r="C197" s="5" t="str">
        <x:v>Текст → видео</x:v>
      </x:c>
      <x:c r="D197" s="5" t="str">
        <x:v>1024p</x:v>
      </x:c>
      <x:c r="E197" s="5" t="str">
        <x:v>—</x:v>
      </x:c>
      <x:c r="F197" s="5" t="n">
        <x:v>4</x:v>
      </x:c>
      <x:c r="G197" s="5" t="str">
        <x:v>—</x:v>
      </x:c>
      <x:c r="H197" s="5" t="str">
        <x:v>Без исходного файла</x:v>
      </x:c>
      <x:c r="I197" s="6" t="n">
        <x:v>352</x:v>
      </x:c>
      <x:c r="J197" s="6" t="n">
        <x:v>352</x:v>
      </x:c>
      <x:c r="K197" s="5" t="str">
        <x:v>Точная цена в редакторе</x:v>
      </x:c>
      <x:c r="L197" s="5" t="str">
        <x:v>видео</x:v>
      </x:c>
      <x:c r="M197" s="7" t="n">
        <x:f>IF(J197="","",ROUND(J197*Tariffs!$D$5,2))</x:f>
        <x:v>292.75</x:v>
      </x:c>
      <x:c r="N197" s="7" t="n">
        <x:f>IF(J197="","",ROUND(J197*Tariffs!$D$6,2))</x:f>
        <x:v>293.04</x:v>
      </x:c>
      <x:c r="O197" s="7" t="n">
        <x:f>IF(J197="","",ROUND(J197*Tariffs!$D$7,2))</x:f>
        <x:v>293.27</x:v>
      </x:c>
      <x:c r="P197" s="5" t="str">
        <x:v>https://neuromia.ru/app/video/sora</x:v>
      </x:c>
      <x:c r="Q197" s="8" t="n">
        <x:v>46282.375</x:v>
      </x:c>
      <x:c r="R197" s="5" t="str"/>
    </x:row>
    <x:row r="198" ht="22" customHeight="1">
      <x:c r="A198" s="5" t="str">
        <x:v>Видео</x:v>
      </x:c>
      <x:c r="B198" s="5" t="str">
        <x:v>Sora 2 Pro</x:v>
      </x:c>
      <x:c r="C198" s="5" t="str">
        <x:v>Текст → видео</x:v>
      </x:c>
      <x:c r="D198" s="5" t="str">
        <x:v>1024p</x:v>
      </x:c>
      <x:c r="E198" s="5" t="str">
        <x:v>—</x:v>
      </x:c>
      <x:c r="F198" s="5" t="n">
        <x:v>8</x:v>
      </x:c>
      <x:c r="G198" s="5" t="str">
        <x:v>—</x:v>
      </x:c>
      <x:c r="H198" s="5" t="str">
        <x:v>Без исходного файла</x:v>
      </x:c>
      <x:c r="I198" s="6" t="n">
        <x:v>704</x:v>
      </x:c>
      <x:c r="J198" s="6" t="n">
        <x:v>704</x:v>
      </x:c>
      <x:c r="K198" s="5" t="str">
        <x:v>Точная цена в редакторе</x:v>
      </x:c>
      <x:c r="L198" s="5" t="str">
        <x:v>видео</x:v>
      </x:c>
      <x:c r="M198" s="7" t="n">
        <x:f>IF(J198="","",ROUND(J198*Tariffs!$D$5,2))</x:f>
        <x:v>585.49</x:v>
      </x:c>
      <x:c r="N198" s="7" t="n">
        <x:f>IF(J198="","",ROUND(J198*Tariffs!$D$6,2))</x:f>
        <x:v>586.08</x:v>
      </x:c>
      <x:c r="O198" s="7" t="n">
        <x:f>IF(J198="","",ROUND(J198*Tariffs!$D$7,2))</x:f>
        <x:v>586.55</x:v>
      </x:c>
      <x:c r="P198" s="5" t="str">
        <x:v>https://neuromia.ru/app/video/sora</x:v>
      </x:c>
      <x:c r="Q198" s="8" t="n">
        <x:v>46282.375</x:v>
      </x:c>
      <x:c r="R198" s="5" t="str"/>
    </x:row>
    <x:row r="199" ht="22" customHeight="1">
      <x:c r="A199" s="5" t="str">
        <x:v>Видео</x:v>
      </x:c>
      <x:c r="B199" s="5" t="str">
        <x:v>Sora 2 Pro</x:v>
      </x:c>
      <x:c r="C199" s="5" t="str">
        <x:v>Текст → видео</x:v>
      </x:c>
      <x:c r="D199" s="5" t="str">
        <x:v>1024p</x:v>
      </x:c>
      <x:c r="E199" s="5" t="str">
        <x:v>—</x:v>
      </x:c>
      <x:c r="F199" s="5" t="n">
        <x:v>12</x:v>
      </x:c>
      <x:c r="G199" s="5" t="str">
        <x:v>—</x:v>
      </x:c>
      <x:c r="H199" s="5" t="str">
        <x:v>Без исходного файла</x:v>
      </x:c>
      <x:c r="I199" s="6" t="n">
        <x:v>1056</x:v>
      </x:c>
      <x:c r="J199" s="6" t="n">
        <x:v>1056</x:v>
      </x:c>
      <x:c r="K199" s="5" t="str">
        <x:v>Точная цена в редакторе</x:v>
      </x:c>
      <x:c r="L199" s="5" t="str">
        <x:v>видео</x:v>
      </x:c>
      <x:c r="M199" s="7" t="n">
        <x:f>IF(J199="","",ROUND(J199*Tariffs!$D$5,2))</x:f>
        <x:v>878.24</x:v>
      </x:c>
      <x:c r="N199" s="7" t="n">
        <x:f>IF(J199="","",ROUND(J199*Tariffs!$D$6,2))</x:f>
        <x:v>879.12</x:v>
      </x:c>
      <x:c r="O199" s="7" t="n">
        <x:f>IF(J199="","",ROUND(J199*Tariffs!$D$7,2))</x:f>
        <x:v>879.82</x:v>
      </x:c>
      <x:c r="P199" s="5" t="str">
        <x:v>https://neuromia.ru/app/video/sora</x:v>
      </x:c>
      <x:c r="Q199" s="8" t="n">
        <x:v>46282.375</x:v>
      </x:c>
      <x:c r="R199" s="5" t="str"/>
    </x:row>
    <x:row r="200" ht="22" customHeight="1">
      <x:c r="A200" s="5" t="str">
        <x:v>Видео</x:v>
      </x:c>
      <x:c r="B200" s="5" t="str">
        <x:v>Sora 2 Pro</x:v>
      </x:c>
      <x:c r="C200" s="5" t="str">
        <x:v>Текст → видео</x:v>
      </x:c>
      <x:c r="D200" s="5" t="str">
        <x:v>1024p</x:v>
      </x:c>
      <x:c r="E200" s="5" t="str">
        <x:v>—</x:v>
      </x:c>
      <x:c r="F200" s="5" t="n">
        <x:v>16</x:v>
      </x:c>
      <x:c r="G200" s="5" t="str">
        <x:v>—</x:v>
      </x:c>
      <x:c r="H200" s="5" t="str">
        <x:v>Без исходного файла</x:v>
      </x:c>
      <x:c r="I200" s="6" t="n">
        <x:v>1408</x:v>
      </x:c>
      <x:c r="J200" s="6" t="n">
        <x:v>1408</x:v>
      </x:c>
      <x:c r="K200" s="5" t="str">
        <x:v>Точная цена в редакторе</x:v>
      </x:c>
      <x:c r="L200" s="5" t="str">
        <x:v>видео</x:v>
      </x:c>
      <x:c r="M200" s="7" t="n">
        <x:f>IF(J200="","",ROUND(J200*Tariffs!$D$5,2))</x:f>
        <x:v>1170.99</x:v>
      </x:c>
      <x:c r="N200" s="7" t="n">
        <x:f>IF(J200="","",ROUND(J200*Tariffs!$D$6,2))</x:f>
        <x:v>1172.16</x:v>
      </x:c>
      <x:c r="O200" s="7" t="n">
        <x:f>IF(J200="","",ROUND(J200*Tariffs!$D$7,2))</x:f>
        <x:v>1173.1</x:v>
      </x:c>
      <x:c r="P200" s="5" t="str">
        <x:v>https://neuromia.ru/app/video/sora</x:v>
      </x:c>
      <x:c r="Q200" s="8" t="n">
        <x:v>46282.375</x:v>
      </x:c>
      <x:c r="R200" s="5" t="str"/>
    </x:row>
    <x:row r="201" ht="22" customHeight="1">
      <x:c r="A201" s="5" t="str">
        <x:v>Видео</x:v>
      </x:c>
      <x:c r="B201" s="5" t="str">
        <x:v>Sora 2 Pro</x:v>
      </x:c>
      <x:c r="C201" s="5" t="str">
        <x:v>Текст → видео</x:v>
      </x:c>
      <x:c r="D201" s="5" t="str">
        <x:v>1024p</x:v>
      </x:c>
      <x:c r="E201" s="5" t="str">
        <x:v>—</x:v>
      </x:c>
      <x:c r="F201" s="5" t="n">
        <x:v>20</x:v>
      </x:c>
      <x:c r="G201" s="5" t="str">
        <x:v>—</x:v>
      </x:c>
      <x:c r="H201" s="5" t="str">
        <x:v>Без исходного файла</x:v>
      </x:c>
      <x:c r="I201" s="6" t="n">
        <x:v>1760</x:v>
      </x:c>
      <x:c r="J201" s="6" t="n">
        <x:v>1760</x:v>
      </x:c>
      <x:c r="K201" s="5" t="str">
        <x:v>Точная цена в редакторе</x:v>
      </x:c>
      <x:c r="L201" s="5" t="str">
        <x:v>видео</x:v>
      </x:c>
      <x:c r="M201" s="7" t="n">
        <x:f>IF(J201="","",ROUND(J201*Tariffs!$D$5,2))</x:f>
        <x:v>1463.73</x:v>
      </x:c>
      <x:c r="N201" s="7" t="n">
        <x:f>IF(J201="","",ROUND(J201*Tariffs!$D$6,2))</x:f>
        <x:v>1465.2</x:v>
      </x:c>
      <x:c r="O201" s="7" t="n">
        <x:f>IF(J201="","",ROUND(J201*Tariffs!$D$7,2))</x:f>
        <x:v>1466.37</x:v>
      </x:c>
      <x:c r="P201" s="5" t="str">
        <x:v>https://neuromia.ru/app/video/sora</x:v>
      </x:c>
      <x:c r="Q201" s="8" t="n">
        <x:v>46282.375</x:v>
      </x:c>
      <x:c r="R201" s="5" t="str"/>
    </x:row>
    <x:row r="202" ht="22" customHeight="1">
      <x:c r="A202" s="5" t="str">
        <x:v>Видео</x:v>
      </x:c>
      <x:c r="B202" s="5" t="str">
        <x:v>Sora 2 Pro</x:v>
      </x:c>
      <x:c r="C202" s="5" t="str">
        <x:v>Текст → видео</x:v>
      </x:c>
      <x:c r="D202" s="5" t="str">
        <x:v>1080p</x:v>
      </x:c>
      <x:c r="E202" s="5" t="str">
        <x:v>—</x:v>
      </x:c>
      <x:c r="F202" s="5" t="n">
        <x:v>4</x:v>
      </x:c>
      <x:c r="G202" s="5" t="str">
        <x:v>—</x:v>
      </x:c>
      <x:c r="H202" s="5" t="str">
        <x:v>Без исходного файла</x:v>
      </x:c>
      <x:c r="I202" s="6" t="n">
        <x:v>492.8</x:v>
      </x:c>
      <x:c r="J202" s="6" t="n">
        <x:v>492.8</x:v>
      </x:c>
      <x:c r="K202" s="5" t="str">
        <x:v>Точная цена в редакторе</x:v>
      </x:c>
      <x:c r="L202" s="5" t="str">
        <x:v>видео</x:v>
      </x:c>
      <x:c r="M202" s="7" t="n">
        <x:f>IF(J202="","",ROUND(J202*Tariffs!$D$5,2))</x:f>
        <x:v>409.85</x:v>
      </x:c>
      <x:c r="N202" s="7" t="n">
        <x:f>IF(J202="","",ROUND(J202*Tariffs!$D$6,2))</x:f>
        <x:v>410.26</x:v>
      </x:c>
      <x:c r="O202" s="7" t="n">
        <x:f>IF(J202="","",ROUND(J202*Tariffs!$D$7,2))</x:f>
        <x:v>410.58</x:v>
      </x:c>
      <x:c r="P202" s="5" t="str">
        <x:v>https://neuromia.ru/app/video/sora</x:v>
      </x:c>
      <x:c r="Q202" s="8" t="n">
        <x:v>46282.375</x:v>
      </x:c>
      <x:c r="R202" s="5" t="str"/>
    </x:row>
    <x:row r="203" ht="22" customHeight="1">
      <x:c r="A203" s="5" t="str">
        <x:v>Видео</x:v>
      </x:c>
      <x:c r="B203" s="5" t="str">
        <x:v>Sora 2 Pro</x:v>
      </x:c>
      <x:c r="C203" s="5" t="str">
        <x:v>Текст → видео</x:v>
      </x:c>
      <x:c r="D203" s="5" t="str">
        <x:v>1080p</x:v>
      </x:c>
      <x:c r="E203" s="5" t="str">
        <x:v>—</x:v>
      </x:c>
      <x:c r="F203" s="5" t="n">
        <x:v>8</x:v>
      </x:c>
      <x:c r="G203" s="5" t="str">
        <x:v>—</x:v>
      </x:c>
      <x:c r="H203" s="5" t="str">
        <x:v>Без исходного файла</x:v>
      </x:c>
      <x:c r="I203" s="6" t="n">
        <x:v>985.6</x:v>
      </x:c>
      <x:c r="J203" s="6" t="n">
        <x:v>985.6</x:v>
      </x:c>
      <x:c r="K203" s="5" t="str">
        <x:v>Точная цена в редакторе</x:v>
      </x:c>
      <x:c r="L203" s="5" t="str">
        <x:v>видео</x:v>
      </x:c>
      <x:c r="M203" s="7" t="n">
        <x:f>IF(J203="","",ROUND(J203*Tariffs!$D$5,2))</x:f>
        <x:v>819.69</x:v>
      </x:c>
      <x:c r="N203" s="7" t="n">
        <x:f>IF(J203="","",ROUND(J203*Tariffs!$D$6,2))</x:f>
        <x:v>820.51</x:v>
      </x:c>
      <x:c r="O203" s="7" t="n">
        <x:f>IF(J203="","",ROUND(J203*Tariffs!$D$7,2))</x:f>
        <x:v>821.17</x:v>
      </x:c>
      <x:c r="P203" s="5" t="str">
        <x:v>https://neuromia.ru/app/video/sora</x:v>
      </x:c>
      <x:c r="Q203" s="8" t="n">
        <x:v>46282.375</x:v>
      </x:c>
      <x:c r="R203" s="5" t="str"/>
    </x:row>
    <x:row r="204" ht="22" customHeight="1">
      <x:c r="A204" s="5" t="str">
        <x:v>Видео</x:v>
      </x:c>
      <x:c r="B204" s="5" t="str">
        <x:v>Sora 2 Pro</x:v>
      </x:c>
      <x:c r="C204" s="5" t="str">
        <x:v>Текст → видео</x:v>
      </x:c>
      <x:c r="D204" s="5" t="str">
        <x:v>1080p</x:v>
      </x:c>
      <x:c r="E204" s="5" t="str">
        <x:v>—</x:v>
      </x:c>
      <x:c r="F204" s="5" t="n">
        <x:v>12</x:v>
      </x:c>
      <x:c r="G204" s="5" t="str">
        <x:v>—</x:v>
      </x:c>
      <x:c r="H204" s="5" t="str">
        <x:v>Без исходного файла</x:v>
      </x:c>
      <x:c r="I204" s="6" t="n">
        <x:v>1478.4</x:v>
      </x:c>
      <x:c r="J204" s="6" t="n">
        <x:v>1478.4</x:v>
      </x:c>
      <x:c r="K204" s="5" t="str">
        <x:v>Точная цена в редакторе</x:v>
      </x:c>
      <x:c r="L204" s="5" t="str">
        <x:v>видео</x:v>
      </x:c>
      <x:c r="M204" s="7" t="n">
        <x:f>IF(J204="","",ROUND(J204*Tariffs!$D$5,2))</x:f>
        <x:v>1229.54</x:v>
      </x:c>
      <x:c r="N204" s="7" t="n">
        <x:f>IF(J204="","",ROUND(J204*Tariffs!$D$6,2))</x:f>
        <x:v>1230.77</x:v>
      </x:c>
      <x:c r="O204" s="7" t="n">
        <x:f>IF(J204="","",ROUND(J204*Tariffs!$D$7,2))</x:f>
        <x:v>1231.75</x:v>
      </x:c>
      <x:c r="P204" s="5" t="str">
        <x:v>https://neuromia.ru/app/video/sora</x:v>
      </x:c>
      <x:c r="Q204" s="8" t="n">
        <x:v>46282.375</x:v>
      </x:c>
      <x:c r="R204" s="5" t="str"/>
    </x:row>
    <x:row r="205" ht="22" customHeight="1">
      <x:c r="A205" s="5" t="str">
        <x:v>Видео</x:v>
      </x:c>
      <x:c r="B205" s="5" t="str">
        <x:v>Sora 2 Pro</x:v>
      </x:c>
      <x:c r="C205" s="5" t="str">
        <x:v>Текст → видео</x:v>
      </x:c>
      <x:c r="D205" s="5" t="str">
        <x:v>1080p</x:v>
      </x:c>
      <x:c r="E205" s="5" t="str">
        <x:v>—</x:v>
      </x:c>
      <x:c r="F205" s="5" t="n">
        <x:v>16</x:v>
      </x:c>
      <x:c r="G205" s="5" t="str">
        <x:v>—</x:v>
      </x:c>
      <x:c r="H205" s="5" t="str">
        <x:v>Без исходного файла</x:v>
      </x:c>
      <x:c r="I205" s="6" t="n">
        <x:v>1971.2</x:v>
      </x:c>
      <x:c r="J205" s="6" t="n">
        <x:v>1971.2</x:v>
      </x:c>
      <x:c r="K205" s="5" t="str">
        <x:v>Точная цена в редакторе</x:v>
      </x:c>
      <x:c r="L205" s="5" t="str">
        <x:v>видео</x:v>
      </x:c>
      <x:c r="M205" s="7" t="n">
        <x:f>IF(J205="","",ROUND(J205*Tariffs!$D$5,2))</x:f>
        <x:v>1639.38</x:v>
      </x:c>
      <x:c r="N205" s="7" t="n">
        <x:f>IF(J205="","",ROUND(J205*Tariffs!$D$6,2))</x:f>
        <x:v>1641.02</x:v>
      </x:c>
      <x:c r="O205" s="7" t="n">
        <x:f>IF(J205="","",ROUND(J205*Tariffs!$D$7,2))</x:f>
        <x:v>1642.34</x:v>
      </x:c>
      <x:c r="P205" s="5" t="str">
        <x:v>https://neuromia.ru/app/video/sora</x:v>
      </x:c>
      <x:c r="Q205" s="8" t="n">
        <x:v>46282.375</x:v>
      </x:c>
      <x:c r="R205" s="5" t="str"/>
    </x:row>
    <x:row r="206" ht="22" customHeight="1">
      <x:c r="A206" s="5" t="str">
        <x:v>Видео</x:v>
      </x:c>
      <x:c r="B206" s="5" t="str">
        <x:v>Sora 2 Pro</x:v>
      </x:c>
      <x:c r="C206" s="5" t="str">
        <x:v>Текст → видео</x:v>
      </x:c>
      <x:c r="D206" s="5" t="str">
        <x:v>1080p</x:v>
      </x:c>
      <x:c r="E206" s="5" t="str">
        <x:v>—</x:v>
      </x:c>
      <x:c r="F206" s="5" t="n">
        <x:v>20</x:v>
      </x:c>
      <x:c r="G206" s="5" t="str">
        <x:v>—</x:v>
      </x:c>
      <x:c r="H206" s="5" t="str">
        <x:v>Без исходного файла</x:v>
      </x:c>
      <x:c r="I206" s="6" t="n">
        <x:v>2464</x:v>
      </x:c>
      <x:c r="J206" s="6" t="n">
        <x:v>2464</x:v>
      </x:c>
      <x:c r="K206" s="5" t="str">
        <x:v>Точная цена в редакторе</x:v>
      </x:c>
      <x:c r="L206" s="5" t="str">
        <x:v>видео</x:v>
      </x:c>
      <x:c r="M206" s="7" t="n">
        <x:f>IF(J206="","",ROUND(J206*Tariffs!$D$5,2))</x:f>
        <x:v>2049.23</x:v>
      </x:c>
      <x:c r="N206" s="7" t="n">
        <x:f>IF(J206="","",ROUND(J206*Tariffs!$D$6,2))</x:f>
        <x:v>2051.28</x:v>
      </x:c>
      <x:c r="O206" s="7" t="n">
        <x:f>IF(J206="","",ROUND(J206*Tariffs!$D$7,2))</x:f>
        <x:v>2052.92</x:v>
      </x:c>
      <x:c r="P206" s="5" t="str">
        <x:v>https://neuromia.ru/app/video/sora</x:v>
      </x:c>
      <x:c r="Q206" s="8" t="n">
        <x:v>46282.375</x:v>
      </x:c>
      <x:c r="R206" s="5" t="str"/>
    </x:row>
    <x:row r="207" ht="22" customHeight="1">
      <x:c r="A207" s="5" t="str">
        <x:v>Видео</x:v>
      </x:c>
      <x:c r="B207" s="5" t="str">
        <x:v>Seedance 2.5</x:v>
      </x:c>
      <x:c r="C207" s="5" t="str">
        <x:v>Текст → видео</x:v>
      </x:c>
      <x:c r="D207" s="5" t="str">
        <x:v>480p</x:v>
      </x:c>
      <x:c r="E207" s="5" t="str">
        <x:v>—</x:v>
      </x:c>
      <x:c r="F207" s="5" t="n">
        <x:v>4</x:v>
      </x:c>
      <x:c r="G207" s="5" t="str">
        <x:v>выключен</x:v>
      </x:c>
      <x:c r="H207" s="5" t="str">
        <x:v>Без исходного файла</x:v>
      </x:c>
      <x:c r="I207" s="6" t="n">
        <x:v>123.2</x:v>
      </x:c>
      <x:c r="J207" s="6" t="n">
        <x:v>123.2</x:v>
      </x:c>
      <x:c r="K207" s="5" t="str">
        <x:v>Точная цена в редакторе</x:v>
      </x:c>
      <x:c r="L207" s="5" t="str">
        <x:v>видео</x:v>
      </x:c>
      <x:c r="M207" s="7" t="n">
        <x:f>IF(J207="","",ROUND(J207*Tariffs!$D$5,2))</x:f>
        <x:v>102.46</x:v>
      </x:c>
      <x:c r="N207" s="7" t="n">
        <x:f>IF(J207="","",ROUND(J207*Tariffs!$D$6,2))</x:f>
        <x:v>102.56</x:v>
      </x:c>
      <x:c r="O207" s="7" t="n">
        <x:f>IF(J207="","",ROUND(J207*Tariffs!$D$7,2))</x:f>
        <x:v>102.65</x:v>
      </x:c>
      <x:c r="P207" s="5" t="str">
        <x:v>https://neuromia.ru/app/video/seedance</x:v>
      </x:c>
      <x:c r="Q207" s="8" t="n">
        <x:v>46282.375</x:v>
      </x:c>
      <x:c r="R207" s="5" t="str">
        <x:v>Каждая длительность 4–30 с была выбрана отдельно; ряд совпал с указанной ставкой.</x:v>
      </x:c>
    </x:row>
    <x:row r="208" ht="22" customHeight="1">
      <x:c r="A208" s="5" t="str">
        <x:v>Видео</x:v>
      </x:c>
      <x:c r="B208" s="5" t="str">
        <x:v>Seedance 2.5</x:v>
      </x:c>
      <x:c r="C208" s="5" t="str">
        <x:v>Текст → видео</x:v>
      </x:c>
      <x:c r="D208" s="5" t="str">
        <x:v>480p</x:v>
      </x:c>
      <x:c r="E208" s="5" t="str">
        <x:v>—</x:v>
      </x:c>
      <x:c r="F208" s="5" t="n">
        <x:v>5</x:v>
      </x:c>
      <x:c r="G208" s="5" t="str">
        <x:v>выключен</x:v>
      </x:c>
      <x:c r="H208" s="5" t="str">
        <x:v>Без исходного файла</x:v>
      </x:c>
      <x:c r="I208" s="6" t="n">
        <x:v>154</x:v>
      </x:c>
      <x:c r="J208" s="6" t="n">
        <x:v>154</x:v>
      </x:c>
      <x:c r="K208" s="5" t="str">
        <x:v>Точная цена в редакторе</x:v>
      </x:c>
      <x:c r="L208" s="5" t="str">
        <x:v>видео</x:v>
      </x:c>
      <x:c r="M208" s="7" t="n">
        <x:f>IF(J208="","",ROUND(J208*Tariffs!$D$5,2))</x:f>
        <x:v>128.08</x:v>
      </x:c>
      <x:c r="N208" s="7" t="n">
        <x:f>IF(J208="","",ROUND(J208*Tariffs!$D$6,2))</x:f>
        <x:v>128.21</x:v>
      </x:c>
      <x:c r="O208" s="7" t="n">
        <x:f>IF(J208="","",ROUND(J208*Tariffs!$D$7,2))</x:f>
        <x:v>128.31</x:v>
      </x:c>
      <x:c r="P208" s="5" t="str">
        <x:v>https://neuromia.ru/app/video/seedance</x:v>
      </x:c>
      <x:c r="Q208" s="8" t="n">
        <x:v>46282.375</x:v>
      </x:c>
      <x:c r="R208" s="5" t="str">
        <x:v>Каждая длительность 4–30 с была выбрана отдельно; ряд совпал с указанной ставкой.</x:v>
      </x:c>
    </x:row>
    <x:row r="209" ht="22" customHeight="1">
      <x:c r="A209" s="5" t="str">
        <x:v>Видео</x:v>
      </x:c>
      <x:c r="B209" s="5" t="str">
        <x:v>Seedance 2.5</x:v>
      </x:c>
      <x:c r="C209" s="5" t="str">
        <x:v>Текст → видео</x:v>
      </x:c>
      <x:c r="D209" s="5" t="str">
        <x:v>480p</x:v>
      </x:c>
      <x:c r="E209" s="5" t="str">
        <x:v>—</x:v>
      </x:c>
      <x:c r="F209" s="5" t="n">
        <x:v>6</x:v>
      </x:c>
      <x:c r="G209" s="5" t="str">
        <x:v>выключен</x:v>
      </x:c>
      <x:c r="H209" s="5" t="str">
        <x:v>Без исходного файла</x:v>
      </x:c>
      <x:c r="I209" s="6" t="n">
        <x:v>184.8</x:v>
      </x:c>
      <x:c r="J209" s="6" t="n">
        <x:v>184.8</x:v>
      </x:c>
      <x:c r="K209" s="5" t="str">
        <x:v>Точная цена в редакторе</x:v>
      </x:c>
      <x:c r="L209" s="5" t="str">
        <x:v>видео</x:v>
      </x:c>
      <x:c r="M209" s="7" t="n">
        <x:f>IF(J209="","",ROUND(J209*Tariffs!$D$5,2))</x:f>
        <x:v>153.69</x:v>
      </x:c>
      <x:c r="N209" s="7" t="n">
        <x:f>IF(J209="","",ROUND(J209*Tariffs!$D$6,2))</x:f>
        <x:v>153.85</x:v>
      </x:c>
      <x:c r="O209" s="7" t="n">
        <x:f>IF(J209="","",ROUND(J209*Tariffs!$D$7,2))</x:f>
        <x:v>153.97</x:v>
      </x:c>
      <x:c r="P209" s="5" t="str">
        <x:v>https://neuromia.ru/app/video/seedance</x:v>
      </x:c>
      <x:c r="Q209" s="8" t="n">
        <x:v>46282.375</x:v>
      </x:c>
      <x:c r="R209" s="5" t="str">
        <x:v>Каждая длительность 4–30 с была выбрана отдельно; ряд совпал с указанной ставкой.</x:v>
      </x:c>
    </x:row>
    <x:row r="210" ht="22" customHeight="1">
      <x:c r="A210" s="5" t="str">
        <x:v>Видео</x:v>
      </x:c>
      <x:c r="B210" s="5" t="str">
        <x:v>Seedance 2.5</x:v>
      </x:c>
      <x:c r="C210" s="5" t="str">
        <x:v>Текст → видео</x:v>
      </x:c>
      <x:c r="D210" s="5" t="str">
        <x:v>480p</x:v>
      </x:c>
      <x:c r="E210" s="5" t="str">
        <x:v>—</x:v>
      </x:c>
      <x:c r="F210" s="5" t="n">
        <x:v>7</x:v>
      </x:c>
      <x:c r="G210" s="5" t="str">
        <x:v>выключен</x:v>
      </x:c>
      <x:c r="H210" s="5" t="str">
        <x:v>Без исходного файла</x:v>
      </x:c>
      <x:c r="I210" s="6" t="n">
        <x:v>215.6</x:v>
      </x:c>
      <x:c r="J210" s="6" t="n">
        <x:v>215.6</x:v>
      </x:c>
      <x:c r="K210" s="5" t="str">
        <x:v>Точная цена в редакторе</x:v>
      </x:c>
      <x:c r="L210" s="5" t="str">
        <x:v>видео</x:v>
      </x:c>
      <x:c r="M210" s="7" t="n">
        <x:f>IF(J210="","",ROUND(J210*Tariffs!$D$5,2))</x:f>
        <x:v>179.31</x:v>
      </x:c>
      <x:c r="N210" s="7" t="n">
        <x:f>IF(J210="","",ROUND(J210*Tariffs!$D$6,2))</x:f>
        <x:v>179.49</x:v>
      </x:c>
      <x:c r="O210" s="7" t="n">
        <x:f>IF(J210="","",ROUND(J210*Tariffs!$D$7,2))</x:f>
        <x:v>179.63</x:v>
      </x:c>
      <x:c r="P210" s="5" t="str">
        <x:v>https://neuromia.ru/app/video/seedance</x:v>
      </x:c>
      <x:c r="Q210" s="8" t="n">
        <x:v>46282.375</x:v>
      </x:c>
      <x:c r="R210" s="5" t="str">
        <x:v>Каждая длительность 4–30 с была выбрана отдельно; ряд совпал с указанной ставкой.</x:v>
      </x:c>
    </x:row>
    <x:row r="211" ht="22" customHeight="1">
      <x:c r="A211" s="5" t="str">
        <x:v>Видео</x:v>
      </x:c>
      <x:c r="B211" s="5" t="str">
        <x:v>Seedance 2.5</x:v>
      </x:c>
      <x:c r="C211" s="5" t="str">
        <x:v>Текст → видео</x:v>
      </x:c>
      <x:c r="D211" s="5" t="str">
        <x:v>480p</x:v>
      </x:c>
      <x:c r="E211" s="5" t="str">
        <x:v>—</x:v>
      </x:c>
      <x:c r="F211" s="5" t="n">
        <x:v>8</x:v>
      </x:c>
      <x:c r="G211" s="5" t="str">
        <x:v>выключен</x:v>
      </x:c>
      <x:c r="H211" s="5" t="str">
        <x:v>Без исходного файла</x:v>
      </x:c>
      <x:c r="I211" s="6" t="n">
        <x:v>246.4</x:v>
      </x:c>
      <x:c r="J211" s="6" t="n">
        <x:v>246.4</x:v>
      </x:c>
      <x:c r="K211" s="5" t="str">
        <x:v>Точная цена в редакторе</x:v>
      </x:c>
      <x:c r="L211" s="5" t="str">
        <x:v>видео</x:v>
      </x:c>
      <x:c r="M211" s="7" t="n">
        <x:f>IF(J211="","",ROUND(J211*Tariffs!$D$5,2))</x:f>
        <x:v>204.92</x:v>
      </x:c>
      <x:c r="N211" s="7" t="n">
        <x:f>IF(J211="","",ROUND(J211*Tariffs!$D$6,2))</x:f>
        <x:v>205.13</x:v>
      </x:c>
      <x:c r="O211" s="7" t="n">
        <x:f>IF(J211="","",ROUND(J211*Tariffs!$D$7,2))</x:f>
        <x:v>205.29</x:v>
      </x:c>
      <x:c r="P211" s="5" t="str">
        <x:v>https://neuromia.ru/app/video/seedance</x:v>
      </x:c>
      <x:c r="Q211" s="8" t="n">
        <x:v>46282.375</x:v>
      </x:c>
      <x:c r="R211" s="5" t="str">
        <x:v>Каждая длительность 4–30 с была выбрана отдельно; ряд совпал с указанной ставкой.</x:v>
      </x:c>
    </x:row>
    <x:row r="212" ht="22" customHeight="1">
      <x:c r="A212" s="5" t="str">
        <x:v>Видео</x:v>
      </x:c>
      <x:c r="B212" s="5" t="str">
        <x:v>Seedance 2.5</x:v>
      </x:c>
      <x:c r="C212" s="5" t="str">
        <x:v>Текст → видео</x:v>
      </x:c>
      <x:c r="D212" s="5" t="str">
        <x:v>480p</x:v>
      </x:c>
      <x:c r="E212" s="5" t="str">
        <x:v>—</x:v>
      </x:c>
      <x:c r="F212" s="5" t="n">
        <x:v>9</x:v>
      </x:c>
      <x:c r="G212" s="5" t="str">
        <x:v>выключен</x:v>
      </x:c>
      <x:c r="H212" s="5" t="str">
        <x:v>Без исходного файла</x:v>
      </x:c>
      <x:c r="I212" s="6" t="n">
        <x:v>277.2</x:v>
      </x:c>
      <x:c r="J212" s="6" t="n">
        <x:v>277.2</x:v>
      </x:c>
      <x:c r="K212" s="5" t="str">
        <x:v>Точная цена в редакторе</x:v>
      </x:c>
      <x:c r="L212" s="5" t="str">
        <x:v>видео</x:v>
      </x:c>
      <x:c r="M212" s="7" t="n">
        <x:f>IF(J212="","",ROUND(J212*Tariffs!$D$5,2))</x:f>
        <x:v>230.54</x:v>
      </x:c>
      <x:c r="N212" s="7" t="n">
        <x:f>IF(J212="","",ROUND(J212*Tariffs!$D$6,2))</x:f>
        <x:v>230.77</x:v>
      </x:c>
      <x:c r="O212" s="7" t="n">
        <x:f>IF(J212="","",ROUND(J212*Tariffs!$D$7,2))</x:f>
        <x:v>230.95</x:v>
      </x:c>
      <x:c r="P212" s="5" t="str">
        <x:v>https://neuromia.ru/app/video/seedance</x:v>
      </x:c>
      <x:c r="Q212" s="8" t="n">
        <x:v>46282.375</x:v>
      </x:c>
      <x:c r="R212" s="5" t="str">
        <x:v>Каждая длительность 4–30 с была выбрана отдельно; ряд совпал с указанной ставкой.</x:v>
      </x:c>
    </x:row>
    <x:row r="213" ht="22" customHeight="1">
      <x:c r="A213" s="5" t="str">
        <x:v>Видео</x:v>
      </x:c>
      <x:c r="B213" s="5" t="str">
        <x:v>Seedance 2.5</x:v>
      </x:c>
      <x:c r="C213" s="5" t="str">
        <x:v>Текст → видео</x:v>
      </x:c>
      <x:c r="D213" s="5" t="str">
        <x:v>480p</x:v>
      </x:c>
      <x:c r="E213" s="5" t="str">
        <x:v>—</x:v>
      </x:c>
      <x:c r="F213" s="5" t="n">
        <x:v>10</x:v>
      </x:c>
      <x:c r="G213" s="5" t="str">
        <x:v>выключен</x:v>
      </x:c>
      <x:c r="H213" s="5" t="str">
        <x:v>Без исходного файла</x:v>
      </x:c>
      <x:c r="I213" s="6" t="n">
        <x:v>308</x:v>
      </x:c>
      <x:c r="J213" s="6" t="n">
        <x:v>308</x:v>
      </x:c>
      <x:c r="K213" s="5" t="str">
        <x:v>Точная цена в редакторе</x:v>
      </x:c>
      <x:c r="L213" s="5" t="str">
        <x:v>видео</x:v>
      </x:c>
      <x:c r="M213" s="7" t="n">
        <x:f>IF(J213="","",ROUND(J213*Tariffs!$D$5,2))</x:f>
        <x:v>256.15</x:v>
      </x:c>
      <x:c r="N213" s="7" t="n">
        <x:f>IF(J213="","",ROUND(J213*Tariffs!$D$6,2))</x:f>
        <x:v>256.41</x:v>
      </x:c>
      <x:c r="O213" s="7" t="n">
        <x:f>IF(J213="","",ROUND(J213*Tariffs!$D$7,2))</x:f>
        <x:v>256.62</x:v>
      </x:c>
      <x:c r="P213" s="5" t="str">
        <x:v>https://neuromia.ru/app/video/seedance</x:v>
      </x:c>
      <x:c r="Q213" s="8" t="n">
        <x:v>46282.375</x:v>
      </x:c>
      <x:c r="R213" s="5" t="str">
        <x:v>Каждая длительность 4–30 с была выбрана отдельно; ряд совпал с указанной ставкой.</x:v>
      </x:c>
    </x:row>
    <x:row r="214" ht="22" customHeight="1">
      <x:c r="A214" s="5" t="str">
        <x:v>Видео</x:v>
      </x:c>
      <x:c r="B214" s="5" t="str">
        <x:v>Seedance 2.5</x:v>
      </x:c>
      <x:c r="C214" s="5" t="str">
        <x:v>Текст → видео</x:v>
      </x:c>
      <x:c r="D214" s="5" t="str">
        <x:v>480p</x:v>
      </x:c>
      <x:c r="E214" s="5" t="str">
        <x:v>—</x:v>
      </x:c>
      <x:c r="F214" s="5" t="n">
        <x:v>11</x:v>
      </x:c>
      <x:c r="G214" s="5" t="str">
        <x:v>выключен</x:v>
      </x:c>
      <x:c r="H214" s="5" t="str">
        <x:v>Без исходного файла</x:v>
      </x:c>
      <x:c r="I214" s="6" t="n">
        <x:v>338.8</x:v>
      </x:c>
      <x:c r="J214" s="6" t="n">
        <x:v>338.8</x:v>
      </x:c>
      <x:c r="K214" s="5" t="str">
        <x:v>Точная цена в редакторе</x:v>
      </x:c>
      <x:c r="L214" s="5" t="str">
        <x:v>видео</x:v>
      </x:c>
      <x:c r="M214" s="7" t="n">
        <x:f>IF(J214="","",ROUND(J214*Tariffs!$D$5,2))</x:f>
        <x:v>281.77</x:v>
      </x:c>
      <x:c r="N214" s="7" t="n">
        <x:f>IF(J214="","",ROUND(J214*Tariffs!$D$6,2))</x:f>
        <x:v>282.05</x:v>
      </x:c>
      <x:c r="O214" s="7" t="n">
        <x:f>IF(J214="","",ROUND(J214*Tariffs!$D$7,2))</x:f>
        <x:v>282.28</x:v>
      </x:c>
      <x:c r="P214" s="5" t="str">
        <x:v>https://neuromia.ru/app/video/seedance</x:v>
      </x:c>
      <x:c r="Q214" s="8" t="n">
        <x:v>46282.375</x:v>
      </x:c>
      <x:c r="R214" s="5" t="str">
        <x:v>Каждая длительность 4–30 с была выбрана отдельно; ряд совпал с указанной ставкой.</x:v>
      </x:c>
    </x:row>
    <x:row r="215" ht="22" customHeight="1">
      <x:c r="A215" s="5" t="str">
        <x:v>Видео</x:v>
      </x:c>
      <x:c r="B215" s="5" t="str">
        <x:v>Seedance 2.5</x:v>
      </x:c>
      <x:c r="C215" s="5" t="str">
        <x:v>Текст → видео</x:v>
      </x:c>
      <x:c r="D215" s="5" t="str">
        <x:v>480p</x:v>
      </x:c>
      <x:c r="E215" s="5" t="str">
        <x:v>—</x:v>
      </x:c>
      <x:c r="F215" s="5" t="n">
        <x:v>12</x:v>
      </x:c>
      <x:c r="G215" s="5" t="str">
        <x:v>выключен</x:v>
      </x:c>
      <x:c r="H215" s="5" t="str">
        <x:v>Без исходного файла</x:v>
      </x:c>
      <x:c r="I215" s="6" t="n">
        <x:v>369.6</x:v>
      </x:c>
      <x:c r="J215" s="6" t="n">
        <x:v>369.6</x:v>
      </x:c>
      <x:c r="K215" s="5" t="str">
        <x:v>Точная цена в редакторе</x:v>
      </x:c>
      <x:c r="L215" s="5" t="str">
        <x:v>видео</x:v>
      </x:c>
      <x:c r="M215" s="7" t="n">
        <x:f>IF(J215="","",ROUND(J215*Tariffs!$D$5,2))</x:f>
        <x:v>307.38</x:v>
      </x:c>
      <x:c r="N215" s="7" t="n">
        <x:f>IF(J215="","",ROUND(J215*Tariffs!$D$6,2))</x:f>
        <x:v>307.69</x:v>
      </x:c>
      <x:c r="O215" s="7" t="n">
        <x:f>IF(J215="","",ROUND(J215*Tariffs!$D$7,2))</x:f>
        <x:v>307.94</x:v>
      </x:c>
      <x:c r="P215" s="5" t="str">
        <x:v>https://neuromia.ru/app/video/seedance</x:v>
      </x:c>
      <x:c r="Q215" s="8" t="n">
        <x:v>46282.375</x:v>
      </x:c>
      <x:c r="R215" s="5" t="str">
        <x:v>Каждая длительность 4–30 с была выбрана отдельно; ряд совпал с указанной ставкой.</x:v>
      </x:c>
    </x:row>
    <x:row r="216" ht="22" customHeight="1">
      <x:c r="A216" s="5" t="str">
        <x:v>Видео</x:v>
      </x:c>
      <x:c r="B216" s="5" t="str">
        <x:v>Seedance 2.5</x:v>
      </x:c>
      <x:c r="C216" s="5" t="str">
        <x:v>Текст → видео</x:v>
      </x:c>
      <x:c r="D216" s="5" t="str">
        <x:v>480p</x:v>
      </x:c>
      <x:c r="E216" s="5" t="str">
        <x:v>—</x:v>
      </x:c>
      <x:c r="F216" s="5" t="n">
        <x:v>13</x:v>
      </x:c>
      <x:c r="G216" s="5" t="str">
        <x:v>выключен</x:v>
      </x:c>
      <x:c r="H216" s="5" t="str">
        <x:v>Без исходного файла</x:v>
      </x:c>
      <x:c r="I216" s="6" t="n">
        <x:v>400.4</x:v>
      </x:c>
      <x:c r="J216" s="6" t="n">
        <x:v>400.4</x:v>
      </x:c>
      <x:c r="K216" s="5" t="str">
        <x:v>Точная цена в редакторе</x:v>
      </x:c>
      <x:c r="L216" s="5" t="str">
        <x:v>видео</x:v>
      </x:c>
      <x:c r="M216" s="7" t="n">
        <x:f>IF(J216="","",ROUND(J216*Tariffs!$D$5,2))</x:f>
        <x:v>333</x:v>
      </x:c>
      <x:c r="N216" s="7" t="n">
        <x:f>IF(J216="","",ROUND(J216*Tariffs!$D$6,2))</x:f>
        <x:v>333.33</x:v>
      </x:c>
      <x:c r="O216" s="7" t="n">
        <x:f>IF(J216="","",ROUND(J216*Tariffs!$D$7,2))</x:f>
        <x:v>333.6</x:v>
      </x:c>
      <x:c r="P216" s="5" t="str">
        <x:v>https://neuromia.ru/app/video/seedance</x:v>
      </x:c>
      <x:c r="Q216" s="8" t="n">
        <x:v>46282.375</x:v>
      </x:c>
      <x:c r="R216" s="5" t="str">
        <x:v>Каждая длительность 4–30 с была выбрана отдельно; ряд совпал с указанной ставкой.</x:v>
      </x:c>
    </x:row>
    <x:row r="217" ht="22" customHeight="1">
      <x:c r="A217" s="5" t="str">
        <x:v>Видео</x:v>
      </x:c>
      <x:c r="B217" s="5" t="str">
        <x:v>Seedance 2.5</x:v>
      </x:c>
      <x:c r="C217" s="5" t="str">
        <x:v>Текст → видео</x:v>
      </x:c>
      <x:c r="D217" s="5" t="str">
        <x:v>480p</x:v>
      </x:c>
      <x:c r="E217" s="5" t="str">
        <x:v>—</x:v>
      </x:c>
      <x:c r="F217" s="5" t="n">
        <x:v>14</x:v>
      </x:c>
      <x:c r="G217" s="5" t="str">
        <x:v>выключен</x:v>
      </x:c>
      <x:c r="H217" s="5" t="str">
        <x:v>Без исходного файла</x:v>
      </x:c>
      <x:c r="I217" s="6" t="n">
        <x:v>431.2</x:v>
      </x:c>
      <x:c r="J217" s="6" t="n">
        <x:v>431.2</x:v>
      </x:c>
      <x:c r="K217" s="5" t="str">
        <x:v>Точная цена в редакторе</x:v>
      </x:c>
      <x:c r="L217" s="5" t="str">
        <x:v>видео</x:v>
      </x:c>
      <x:c r="M217" s="7" t="n">
        <x:f>IF(J217="","",ROUND(J217*Tariffs!$D$5,2))</x:f>
        <x:v>358.61</x:v>
      </x:c>
      <x:c r="N217" s="7" t="n">
        <x:f>IF(J217="","",ROUND(J217*Tariffs!$D$6,2))</x:f>
        <x:v>358.97</x:v>
      </x:c>
      <x:c r="O217" s="7" t="n">
        <x:f>IF(J217="","",ROUND(J217*Tariffs!$D$7,2))</x:f>
        <x:v>359.26</x:v>
      </x:c>
      <x:c r="P217" s="5" t="str">
        <x:v>https://neuromia.ru/app/video/seedance</x:v>
      </x:c>
      <x:c r="Q217" s="8" t="n">
        <x:v>46282.375</x:v>
      </x:c>
      <x:c r="R217" s="5" t="str">
        <x:v>Каждая длительность 4–30 с была выбрана отдельно; ряд совпал с указанной ставкой.</x:v>
      </x:c>
    </x:row>
    <x:row r="218" ht="22" customHeight="1">
      <x:c r="A218" s="5" t="str">
        <x:v>Видео</x:v>
      </x:c>
      <x:c r="B218" s="5" t="str">
        <x:v>Seedance 2.5</x:v>
      </x:c>
      <x:c r="C218" s="5" t="str">
        <x:v>Текст → видео</x:v>
      </x:c>
      <x:c r="D218" s="5" t="str">
        <x:v>480p</x:v>
      </x:c>
      <x:c r="E218" s="5" t="str">
        <x:v>—</x:v>
      </x:c>
      <x:c r="F218" s="5" t="n">
        <x:v>15</x:v>
      </x:c>
      <x:c r="G218" s="5" t="str">
        <x:v>выключен</x:v>
      </x:c>
      <x:c r="H218" s="5" t="str">
        <x:v>Без исходного файла</x:v>
      </x:c>
      <x:c r="I218" s="6" t="n">
        <x:v>462</x:v>
      </x:c>
      <x:c r="J218" s="6" t="n">
        <x:v>462</x:v>
      </x:c>
      <x:c r="K218" s="5" t="str">
        <x:v>Точная цена в редакторе</x:v>
      </x:c>
      <x:c r="L218" s="5" t="str">
        <x:v>видео</x:v>
      </x:c>
      <x:c r="M218" s="7" t="n">
        <x:f>IF(J218="","",ROUND(J218*Tariffs!$D$5,2))</x:f>
        <x:v>384.23</x:v>
      </x:c>
      <x:c r="N218" s="7" t="n">
        <x:f>IF(J218="","",ROUND(J218*Tariffs!$D$6,2))</x:f>
        <x:v>384.62</x:v>
      </x:c>
      <x:c r="O218" s="7" t="n">
        <x:f>IF(J218="","",ROUND(J218*Tariffs!$D$7,2))</x:f>
        <x:v>384.92</x:v>
      </x:c>
      <x:c r="P218" s="5" t="str">
        <x:v>https://neuromia.ru/app/video/seedance</x:v>
      </x:c>
      <x:c r="Q218" s="8" t="n">
        <x:v>46282.375</x:v>
      </x:c>
      <x:c r="R218" s="5" t="str">
        <x:v>Каждая длительность 4–30 с была выбрана отдельно; ряд совпал с указанной ставкой.</x:v>
      </x:c>
    </x:row>
    <x:row r="219" ht="22" customHeight="1">
      <x:c r="A219" s="5" t="str">
        <x:v>Видео</x:v>
      </x:c>
      <x:c r="B219" s="5" t="str">
        <x:v>Seedance 2.5</x:v>
      </x:c>
      <x:c r="C219" s="5" t="str">
        <x:v>Текст → видео</x:v>
      </x:c>
      <x:c r="D219" s="5" t="str">
        <x:v>480p</x:v>
      </x:c>
      <x:c r="E219" s="5" t="str">
        <x:v>—</x:v>
      </x:c>
      <x:c r="F219" s="5" t="n">
        <x:v>16</x:v>
      </x:c>
      <x:c r="G219" s="5" t="str">
        <x:v>выключен</x:v>
      </x:c>
      <x:c r="H219" s="5" t="str">
        <x:v>Без исходного файла</x:v>
      </x:c>
      <x:c r="I219" s="6" t="n">
        <x:v>492.8</x:v>
      </x:c>
      <x:c r="J219" s="6" t="n">
        <x:v>492.8</x:v>
      </x:c>
      <x:c r="K219" s="5" t="str">
        <x:v>Точная цена в редакторе</x:v>
      </x:c>
      <x:c r="L219" s="5" t="str">
        <x:v>видео</x:v>
      </x:c>
      <x:c r="M219" s="7" t="n">
        <x:f>IF(J219="","",ROUND(J219*Tariffs!$D$5,2))</x:f>
        <x:v>409.85</x:v>
      </x:c>
      <x:c r="N219" s="7" t="n">
        <x:f>IF(J219="","",ROUND(J219*Tariffs!$D$6,2))</x:f>
        <x:v>410.26</x:v>
      </x:c>
      <x:c r="O219" s="7" t="n">
        <x:f>IF(J219="","",ROUND(J219*Tariffs!$D$7,2))</x:f>
        <x:v>410.58</x:v>
      </x:c>
      <x:c r="P219" s="5" t="str">
        <x:v>https://neuromia.ru/app/video/seedance</x:v>
      </x:c>
      <x:c r="Q219" s="8" t="n">
        <x:v>46282.375</x:v>
      </x:c>
      <x:c r="R219" s="5" t="str">
        <x:v>Каждая длительность 4–30 с была выбрана отдельно; ряд совпал с указанной ставкой.</x:v>
      </x:c>
    </x:row>
    <x:row r="220" ht="22" customHeight="1">
      <x:c r="A220" s="5" t="str">
        <x:v>Видео</x:v>
      </x:c>
      <x:c r="B220" s="5" t="str">
        <x:v>Seedance 2.5</x:v>
      </x:c>
      <x:c r="C220" s="5" t="str">
        <x:v>Текст → видео</x:v>
      </x:c>
      <x:c r="D220" s="5" t="str">
        <x:v>480p</x:v>
      </x:c>
      <x:c r="E220" s="5" t="str">
        <x:v>—</x:v>
      </x:c>
      <x:c r="F220" s="5" t="n">
        <x:v>17</x:v>
      </x:c>
      <x:c r="G220" s="5" t="str">
        <x:v>выключен</x:v>
      </x:c>
      <x:c r="H220" s="5" t="str">
        <x:v>Без исходного файла</x:v>
      </x:c>
      <x:c r="I220" s="6" t="n">
        <x:v>523.6</x:v>
      </x:c>
      <x:c r="J220" s="6" t="n">
        <x:v>523.6</x:v>
      </x:c>
      <x:c r="K220" s="5" t="str">
        <x:v>Точная цена в редакторе</x:v>
      </x:c>
      <x:c r="L220" s="5" t="str">
        <x:v>видео</x:v>
      </x:c>
      <x:c r="M220" s="7" t="n">
        <x:f>IF(J220="","",ROUND(J220*Tariffs!$D$5,2))</x:f>
        <x:v>435.46</x:v>
      </x:c>
      <x:c r="N220" s="7" t="n">
        <x:f>IF(J220="","",ROUND(J220*Tariffs!$D$6,2))</x:f>
        <x:v>435.9</x:v>
      </x:c>
      <x:c r="O220" s="7" t="n">
        <x:f>IF(J220="","",ROUND(J220*Tariffs!$D$7,2))</x:f>
        <x:v>436.25</x:v>
      </x:c>
      <x:c r="P220" s="5" t="str">
        <x:v>https://neuromia.ru/app/video/seedance</x:v>
      </x:c>
      <x:c r="Q220" s="8" t="n">
        <x:v>46282.375</x:v>
      </x:c>
      <x:c r="R220" s="5" t="str">
        <x:v>Каждая длительность 4–30 с была выбрана отдельно; ряд совпал с указанной ставкой.</x:v>
      </x:c>
    </x:row>
    <x:row r="221" ht="22" customHeight="1">
      <x:c r="A221" s="5" t="str">
        <x:v>Видео</x:v>
      </x:c>
      <x:c r="B221" s="5" t="str">
        <x:v>Seedance 2.5</x:v>
      </x:c>
      <x:c r="C221" s="5" t="str">
        <x:v>Текст → видео</x:v>
      </x:c>
      <x:c r="D221" s="5" t="str">
        <x:v>480p</x:v>
      </x:c>
      <x:c r="E221" s="5" t="str">
        <x:v>—</x:v>
      </x:c>
      <x:c r="F221" s="5" t="n">
        <x:v>18</x:v>
      </x:c>
      <x:c r="G221" s="5" t="str">
        <x:v>выключен</x:v>
      </x:c>
      <x:c r="H221" s="5" t="str">
        <x:v>Без исходного файла</x:v>
      </x:c>
      <x:c r="I221" s="6" t="n">
        <x:v>554.4</x:v>
      </x:c>
      <x:c r="J221" s="6" t="n">
        <x:v>554.4</x:v>
      </x:c>
      <x:c r="K221" s="5" t="str">
        <x:v>Точная цена в редакторе</x:v>
      </x:c>
      <x:c r="L221" s="5" t="str">
        <x:v>видео</x:v>
      </x:c>
      <x:c r="M221" s="7" t="n">
        <x:f>IF(J221="","",ROUND(J221*Tariffs!$D$5,2))</x:f>
        <x:v>461.08</x:v>
      </x:c>
      <x:c r="N221" s="7" t="n">
        <x:f>IF(J221="","",ROUND(J221*Tariffs!$D$6,2))</x:f>
        <x:v>461.54</x:v>
      </x:c>
      <x:c r="O221" s="7" t="n">
        <x:f>IF(J221="","",ROUND(J221*Tariffs!$D$7,2))</x:f>
        <x:v>461.91</x:v>
      </x:c>
      <x:c r="P221" s="5" t="str">
        <x:v>https://neuromia.ru/app/video/seedance</x:v>
      </x:c>
      <x:c r="Q221" s="8" t="n">
        <x:v>46282.375</x:v>
      </x:c>
      <x:c r="R221" s="5" t="str">
        <x:v>Каждая длительность 4–30 с была выбрана отдельно; ряд совпал с указанной ставкой.</x:v>
      </x:c>
    </x:row>
    <x:row r="222" ht="22" customHeight="1">
      <x:c r="A222" s="5" t="str">
        <x:v>Видео</x:v>
      </x:c>
      <x:c r="B222" s="5" t="str">
        <x:v>Seedance 2.5</x:v>
      </x:c>
      <x:c r="C222" s="5" t="str">
        <x:v>Текст → видео</x:v>
      </x:c>
      <x:c r="D222" s="5" t="str">
        <x:v>480p</x:v>
      </x:c>
      <x:c r="E222" s="5" t="str">
        <x:v>—</x:v>
      </x:c>
      <x:c r="F222" s="5" t="n">
        <x:v>19</x:v>
      </x:c>
      <x:c r="G222" s="5" t="str">
        <x:v>выключен</x:v>
      </x:c>
      <x:c r="H222" s="5" t="str">
        <x:v>Без исходного файла</x:v>
      </x:c>
      <x:c r="I222" s="6" t="n">
        <x:v>585.2</x:v>
      </x:c>
      <x:c r="J222" s="6" t="n">
        <x:v>585.2</x:v>
      </x:c>
      <x:c r="K222" s="5" t="str">
        <x:v>Точная цена в редакторе</x:v>
      </x:c>
      <x:c r="L222" s="5" t="str">
        <x:v>видео</x:v>
      </x:c>
      <x:c r="M222" s="7" t="n">
        <x:f>IF(J222="","",ROUND(J222*Tariffs!$D$5,2))</x:f>
        <x:v>486.69</x:v>
      </x:c>
      <x:c r="N222" s="7" t="n">
        <x:f>IF(J222="","",ROUND(J222*Tariffs!$D$6,2))</x:f>
        <x:v>487.18</x:v>
      </x:c>
      <x:c r="O222" s="7" t="n">
        <x:f>IF(J222="","",ROUND(J222*Tariffs!$D$7,2))</x:f>
        <x:v>487.57</x:v>
      </x:c>
      <x:c r="P222" s="5" t="str">
        <x:v>https://neuromia.ru/app/video/seedance</x:v>
      </x:c>
      <x:c r="Q222" s="8" t="n">
        <x:v>46282.375</x:v>
      </x:c>
      <x:c r="R222" s="5" t="str">
        <x:v>Каждая длительность 4–30 с была выбрана отдельно; ряд совпал с указанной ставкой.</x:v>
      </x:c>
    </x:row>
    <x:row r="223" ht="22" customHeight="1">
      <x:c r="A223" s="5" t="str">
        <x:v>Видео</x:v>
      </x:c>
      <x:c r="B223" s="5" t="str">
        <x:v>Seedance 2.5</x:v>
      </x:c>
      <x:c r="C223" s="5" t="str">
        <x:v>Текст → видео</x:v>
      </x:c>
      <x:c r="D223" s="5" t="str">
        <x:v>480p</x:v>
      </x:c>
      <x:c r="E223" s="5" t="str">
        <x:v>—</x:v>
      </x:c>
      <x:c r="F223" s="5" t="n">
        <x:v>20</x:v>
      </x:c>
      <x:c r="G223" s="5" t="str">
        <x:v>выключен</x:v>
      </x:c>
      <x:c r="H223" s="5" t="str">
        <x:v>Без исходного файла</x:v>
      </x:c>
      <x:c r="I223" s="6" t="n">
        <x:v>616</x:v>
      </x:c>
      <x:c r="J223" s="6" t="n">
        <x:v>616</x:v>
      </x:c>
      <x:c r="K223" s="5" t="str">
        <x:v>Точная цена в редакторе</x:v>
      </x:c>
      <x:c r="L223" s="5" t="str">
        <x:v>видео</x:v>
      </x:c>
      <x:c r="M223" s="7" t="n">
        <x:f>IF(J223="","",ROUND(J223*Tariffs!$D$5,2))</x:f>
        <x:v>512.31</x:v>
      </x:c>
      <x:c r="N223" s="7" t="n">
        <x:f>IF(J223="","",ROUND(J223*Tariffs!$D$6,2))</x:f>
        <x:v>512.82</x:v>
      </x:c>
      <x:c r="O223" s="7" t="n">
        <x:f>IF(J223="","",ROUND(J223*Tariffs!$D$7,2))</x:f>
        <x:v>513.23</x:v>
      </x:c>
      <x:c r="P223" s="5" t="str">
        <x:v>https://neuromia.ru/app/video/seedance</x:v>
      </x:c>
      <x:c r="Q223" s="8" t="n">
        <x:v>46282.375</x:v>
      </x:c>
      <x:c r="R223" s="5" t="str">
        <x:v>Каждая длительность 4–30 с была выбрана отдельно; ряд совпал с указанной ставкой.</x:v>
      </x:c>
    </x:row>
    <x:row r="224" ht="22" customHeight="1">
      <x:c r="A224" s="5" t="str">
        <x:v>Видео</x:v>
      </x:c>
      <x:c r="B224" s="5" t="str">
        <x:v>Seedance 2.5</x:v>
      </x:c>
      <x:c r="C224" s="5" t="str">
        <x:v>Текст → видео</x:v>
      </x:c>
      <x:c r="D224" s="5" t="str">
        <x:v>480p</x:v>
      </x:c>
      <x:c r="E224" s="5" t="str">
        <x:v>—</x:v>
      </x:c>
      <x:c r="F224" s="5" t="n">
        <x:v>21</x:v>
      </x:c>
      <x:c r="G224" s="5" t="str">
        <x:v>выключен</x:v>
      </x:c>
      <x:c r="H224" s="5" t="str">
        <x:v>Без исходного файла</x:v>
      </x:c>
      <x:c r="I224" s="6" t="n">
        <x:v>646.8</x:v>
      </x:c>
      <x:c r="J224" s="6" t="n">
        <x:v>646.8</x:v>
      </x:c>
      <x:c r="K224" s="5" t="str">
        <x:v>Точная цена в редакторе</x:v>
      </x:c>
      <x:c r="L224" s="5" t="str">
        <x:v>видео</x:v>
      </x:c>
      <x:c r="M224" s="7" t="n">
        <x:f>IF(J224="","",ROUND(J224*Tariffs!$D$5,2))</x:f>
        <x:v>537.92</x:v>
      </x:c>
      <x:c r="N224" s="7" t="n">
        <x:f>IF(J224="","",ROUND(J224*Tariffs!$D$6,2))</x:f>
        <x:v>538.46</x:v>
      </x:c>
      <x:c r="O224" s="7" t="n">
        <x:f>IF(J224="","",ROUND(J224*Tariffs!$D$7,2))</x:f>
        <x:v>538.89</x:v>
      </x:c>
      <x:c r="P224" s="5" t="str">
        <x:v>https://neuromia.ru/app/video/seedance</x:v>
      </x:c>
      <x:c r="Q224" s="8" t="n">
        <x:v>46282.375</x:v>
      </x:c>
      <x:c r="R224" s="5" t="str">
        <x:v>Каждая длительность 4–30 с была выбрана отдельно; ряд совпал с указанной ставкой.</x:v>
      </x:c>
    </x:row>
    <x:row r="225" ht="22" customHeight="1">
      <x:c r="A225" s="5" t="str">
        <x:v>Видео</x:v>
      </x:c>
      <x:c r="B225" s="5" t="str">
        <x:v>Seedance 2.5</x:v>
      </x:c>
      <x:c r="C225" s="5" t="str">
        <x:v>Текст → видео</x:v>
      </x:c>
      <x:c r="D225" s="5" t="str">
        <x:v>480p</x:v>
      </x:c>
      <x:c r="E225" s="5" t="str">
        <x:v>—</x:v>
      </x:c>
      <x:c r="F225" s="5" t="n">
        <x:v>22</x:v>
      </x:c>
      <x:c r="G225" s="5" t="str">
        <x:v>выключен</x:v>
      </x:c>
      <x:c r="H225" s="5" t="str">
        <x:v>Без исходного файла</x:v>
      </x:c>
      <x:c r="I225" s="6" t="n">
        <x:v>677.6</x:v>
      </x:c>
      <x:c r="J225" s="6" t="n">
        <x:v>677.6</x:v>
      </x:c>
      <x:c r="K225" s="5" t="str">
        <x:v>Точная цена в редакторе</x:v>
      </x:c>
      <x:c r="L225" s="5" t="str">
        <x:v>видео</x:v>
      </x:c>
      <x:c r="M225" s="7" t="n">
        <x:f>IF(J225="","",ROUND(J225*Tariffs!$D$5,2))</x:f>
        <x:v>563.54</x:v>
      </x:c>
      <x:c r="N225" s="7" t="n">
        <x:f>IF(J225="","",ROUND(J225*Tariffs!$D$6,2))</x:f>
        <x:v>564.1</x:v>
      </x:c>
      <x:c r="O225" s="7" t="n">
        <x:f>IF(J225="","",ROUND(J225*Tariffs!$D$7,2))</x:f>
        <x:v>564.55</x:v>
      </x:c>
      <x:c r="P225" s="5" t="str">
        <x:v>https://neuromia.ru/app/video/seedance</x:v>
      </x:c>
      <x:c r="Q225" s="8" t="n">
        <x:v>46282.375</x:v>
      </x:c>
      <x:c r="R225" s="5" t="str">
        <x:v>Каждая длительность 4–30 с была выбрана отдельно; ряд совпал с указанной ставкой.</x:v>
      </x:c>
    </x:row>
    <x:row r="226" ht="22" customHeight="1">
      <x:c r="A226" s="5" t="str">
        <x:v>Видео</x:v>
      </x:c>
      <x:c r="B226" s="5" t="str">
        <x:v>Seedance 2.5</x:v>
      </x:c>
      <x:c r="C226" s="5" t="str">
        <x:v>Текст → видео</x:v>
      </x:c>
      <x:c r="D226" s="5" t="str">
        <x:v>480p</x:v>
      </x:c>
      <x:c r="E226" s="5" t="str">
        <x:v>—</x:v>
      </x:c>
      <x:c r="F226" s="5" t="n">
        <x:v>23</x:v>
      </x:c>
      <x:c r="G226" s="5" t="str">
        <x:v>выключен</x:v>
      </x:c>
      <x:c r="H226" s="5" t="str">
        <x:v>Без исходного файла</x:v>
      </x:c>
      <x:c r="I226" s="6" t="n">
        <x:v>708.4</x:v>
      </x:c>
      <x:c r="J226" s="6" t="n">
        <x:v>708.4</x:v>
      </x:c>
      <x:c r="K226" s="5" t="str">
        <x:v>Точная цена в редакторе</x:v>
      </x:c>
      <x:c r="L226" s="5" t="str">
        <x:v>видео</x:v>
      </x:c>
      <x:c r="M226" s="7" t="n">
        <x:f>IF(J226="","",ROUND(J226*Tariffs!$D$5,2))</x:f>
        <x:v>589.15</x:v>
      </x:c>
      <x:c r="N226" s="7" t="n">
        <x:f>IF(J226="","",ROUND(J226*Tariffs!$D$6,2))</x:f>
        <x:v>589.74</x:v>
      </x:c>
      <x:c r="O226" s="7" t="n">
        <x:f>IF(J226="","",ROUND(J226*Tariffs!$D$7,2))</x:f>
        <x:v>590.22</x:v>
      </x:c>
      <x:c r="P226" s="5" t="str">
        <x:v>https://neuromia.ru/app/video/seedance</x:v>
      </x:c>
      <x:c r="Q226" s="8" t="n">
        <x:v>46282.375</x:v>
      </x:c>
      <x:c r="R226" s="5" t="str">
        <x:v>Каждая длительность 4–30 с была выбрана отдельно; ряд совпал с указанной ставкой.</x:v>
      </x:c>
    </x:row>
    <x:row r="227" ht="22" customHeight="1">
      <x:c r="A227" s="5" t="str">
        <x:v>Видео</x:v>
      </x:c>
      <x:c r="B227" s="5" t="str">
        <x:v>Seedance 2.5</x:v>
      </x:c>
      <x:c r="C227" s="5" t="str">
        <x:v>Текст → видео</x:v>
      </x:c>
      <x:c r="D227" s="5" t="str">
        <x:v>480p</x:v>
      </x:c>
      <x:c r="E227" s="5" t="str">
        <x:v>—</x:v>
      </x:c>
      <x:c r="F227" s="5" t="n">
        <x:v>24</x:v>
      </x:c>
      <x:c r="G227" s="5" t="str">
        <x:v>выключен</x:v>
      </x:c>
      <x:c r="H227" s="5" t="str">
        <x:v>Без исходного файла</x:v>
      </x:c>
      <x:c r="I227" s="6" t="n">
        <x:v>739.2</x:v>
      </x:c>
      <x:c r="J227" s="6" t="n">
        <x:v>739.2</x:v>
      </x:c>
      <x:c r="K227" s="5" t="str">
        <x:v>Точная цена в редакторе</x:v>
      </x:c>
      <x:c r="L227" s="5" t="str">
        <x:v>видео</x:v>
      </x:c>
      <x:c r="M227" s="7" t="n">
        <x:f>IF(J227="","",ROUND(J227*Tariffs!$D$5,2))</x:f>
        <x:v>614.77</x:v>
      </x:c>
      <x:c r="N227" s="7" t="n">
        <x:f>IF(J227="","",ROUND(J227*Tariffs!$D$6,2))</x:f>
        <x:v>615.38</x:v>
      </x:c>
      <x:c r="O227" s="7" t="n">
        <x:f>IF(J227="","",ROUND(J227*Tariffs!$D$7,2))</x:f>
        <x:v>615.88</x:v>
      </x:c>
      <x:c r="P227" s="5" t="str">
        <x:v>https://neuromia.ru/app/video/seedance</x:v>
      </x:c>
      <x:c r="Q227" s="8" t="n">
        <x:v>46282.375</x:v>
      </x:c>
      <x:c r="R227" s="5" t="str">
        <x:v>Каждая длительность 4–30 с была выбрана отдельно; ряд совпал с указанной ставкой.</x:v>
      </x:c>
    </x:row>
    <x:row r="228" ht="22" customHeight="1">
      <x:c r="A228" s="5" t="str">
        <x:v>Видео</x:v>
      </x:c>
      <x:c r="B228" s="5" t="str">
        <x:v>Seedance 2.5</x:v>
      </x:c>
      <x:c r="C228" s="5" t="str">
        <x:v>Текст → видео</x:v>
      </x:c>
      <x:c r="D228" s="5" t="str">
        <x:v>480p</x:v>
      </x:c>
      <x:c r="E228" s="5" t="str">
        <x:v>—</x:v>
      </x:c>
      <x:c r="F228" s="5" t="n">
        <x:v>25</x:v>
      </x:c>
      <x:c r="G228" s="5" t="str">
        <x:v>выключен</x:v>
      </x:c>
      <x:c r="H228" s="5" t="str">
        <x:v>Без исходного файла</x:v>
      </x:c>
      <x:c r="I228" s="6" t="n">
        <x:v>770</x:v>
      </x:c>
      <x:c r="J228" s="6" t="n">
        <x:v>770</x:v>
      </x:c>
      <x:c r="K228" s="5" t="str">
        <x:v>Точная цена в редакторе</x:v>
      </x:c>
      <x:c r="L228" s="5" t="str">
        <x:v>видео</x:v>
      </x:c>
      <x:c r="M228" s="7" t="n">
        <x:f>IF(J228="","",ROUND(J228*Tariffs!$D$5,2))</x:f>
        <x:v>640.38</x:v>
      </x:c>
      <x:c r="N228" s="7" t="n">
        <x:f>IF(J228="","",ROUND(J228*Tariffs!$D$6,2))</x:f>
        <x:v>641.03</x:v>
      </x:c>
      <x:c r="O228" s="7" t="n">
        <x:f>IF(J228="","",ROUND(J228*Tariffs!$D$7,2))</x:f>
        <x:v>641.54</x:v>
      </x:c>
      <x:c r="P228" s="5" t="str">
        <x:v>https://neuromia.ru/app/video/seedance</x:v>
      </x:c>
      <x:c r="Q228" s="8" t="n">
        <x:v>46282.375</x:v>
      </x:c>
      <x:c r="R228" s="5" t="str">
        <x:v>Каждая длительность 4–30 с была выбрана отдельно; ряд совпал с указанной ставкой.</x:v>
      </x:c>
    </x:row>
    <x:row r="229" ht="22" customHeight="1">
      <x:c r="A229" s="5" t="str">
        <x:v>Видео</x:v>
      </x:c>
      <x:c r="B229" s="5" t="str">
        <x:v>Seedance 2.5</x:v>
      </x:c>
      <x:c r="C229" s="5" t="str">
        <x:v>Текст → видео</x:v>
      </x:c>
      <x:c r="D229" s="5" t="str">
        <x:v>480p</x:v>
      </x:c>
      <x:c r="E229" s="5" t="str">
        <x:v>—</x:v>
      </x:c>
      <x:c r="F229" s="5" t="n">
        <x:v>26</x:v>
      </x:c>
      <x:c r="G229" s="5" t="str">
        <x:v>выключен</x:v>
      </x:c>
      <x:c r="H229" s="5" t="str">
        <x:v>Без исходного файла</x:v>
      </x:c>
      <x:c r="I229" s="6" t="n">
        <x:v>800.8</x:v>
      </x:c>
      <x:c r="J229" s="6" t="n">
        <x:v>800.8</x:v>
      </x:c>
      <x:c r="K229" s="5" t="str">
        <x:v>Точная цена в редакторе</x:v>
      </x:c>
      <x:c r="L229" s="5" t="str">
        <x:v>видео</x:v>
      </x:c>
      <x:c r="M229" s="7" t="n">
        <x:f>IF(J229="","",ROUND(J229*Tariffs!$D$5,2))</x:f>
        <x:v>666</x:v>
      </x:c>
      <x:c r="N229" s="7" t="n">
        <x:f>IF(J229="","",ROUND(J229*Tariffs!$D$6,2))</x:f>
        <x:v>666.67</x:v>
      </x:c>
      <x:c r="O229" s="7" t="n">
        <x:f>IF(J229="","",ROUND(J229*Tariffs!$D$7,2))</x:f>
        <x:v>667.2</x:v>
      </x:c>
      <x:c r="P229" s="5" t="str">
        <x:v>https://neuromia.ru/app/video/seedance</x:v>
      </x:c>
      <x:c r="Q229" s="8" t="n">
        <x:v>46282.375</x:v>
      </x:c>
      <x:c r="R229" s="5" t="str">
        <x:v>Каждая длительность 4–30 с была выбрана отдельно; ряд совпал с указанной ставкой.</x:v>
      </x:c>
    </x:row>
    <x:row r="230" ht="22" customHeight="1">
      <x:c r="A230" s="5" t="str">
        <x:v>Видео</x:v>
      </x:c>
      <x:c r="B230" s="5" t="str">
        <x:v>Seedance 2.5</x:v>
      </x:c>
      <x:c r="C230" s="5" t="str">
        <x:v>Текст → видео</x:v>
      </x:c>
      <x:c r="D230" s="5" t="str">
        <x:v>480p</x:v>
      </x:c>
      <x:c r="E230" s="5" t="str">
        <x:v>—</x:v>
      </x:c>
      <x:c r="F230" s="5" t="n">
        <x:v>27</x:v>
      </x:c>
      <x:c r="G230" s="5" t="str">
        <x:v>выключен</x:v>
      </x:c>
      <x:c r="H230" s="5" t="str">
        <x:v>Без исходного файла</x:v>
      </x:c>
      <x:c r="I230" s="6" t="n">
        <x:v>831.6</x:v>
      </x:c>
      <x:c r="J230" s="6" t="n">
        <x:v>831.6</x:v>
      </x:c>
      <x:c r="K230" s="5" t="str">
        <x:v>Точная цена в редакторе</x:v>
      </x:c>
      <x:c r="L230" s="5" t="str">
        <x:v>видео</x:v>
      </x:c>
      <x:c r="M230" s="7" t="n">
        <x:f>IF(J230="","",ROUND(J230*Tariffs!$D$5,2))</x:f>
        <x:v>691.61</x:v>
      </x:c>
      <x:c r="N230" s="7" t="n">
        <x:f>IF(J230="","",ROUND(J230*Tariffs!$D$6,2))</x:f>
        <x:v>692.31</x:v>
      </x:c>
      <x:c r="O230" s="7" t="n">
        <x:f>IF(J230="","",ROUND(J230*Tariffs!$D$7,2))</x:f>
        <x:v>692.86</x:v>
      </x:c>
      <x:c r="P230" s="5" t="str">
        <x:v>https://neuromia.ru/app/video/seedance</x:v>
      </x:c>
      <x:c r="Q230" s="8" t="n">
        <x:v>46282.375</x:v>
      </x:c>
      <x:c r="R230" s="5" t="str">
        <x:v>Каждая длительность 4–30 с была выбрана отдельно; ряд совпал с указанной ставкой.</x:v>
      </x:c>
    </x:row>
    <x:row r="231" ht="22" customHeight="1">
      <x:c r="A231" s="5" t="str">
        <x:v>Видео</x:v>
      </x:c>
      <x:c r="B231" s="5" t="str">
        <x:v>Seedance 2.5</x:v>
      </x:c>
      <x:c r="C231" s="5" t="str">
        <x:v>Текст → видео</x:v>
      </x:c>
      <x:c r="D231" s="5" t="str">
        <x:v>480p</x:v>
      </x:c>
      <x:c r="E231" s="5" t="str">
        <x:v>—</x:v>
      </x:c>
      <x:c r="F231" s="5" t="n">
        <x:v>28</x:v>
      </x:c>
      <x:c r="G231" s="5" t="str">
        <x:v>выключен</x:v>
      </x:c>
      <x:c r="H231" s="5" t="str">
        <x:v>Без исходного файла</x:v>
      </x:c>
      <x:c r="I231" s="6" t="n">
        <x:v>862.4</x:v>
      </x:c>
      <x:c r="J231" s="6" t="n">
        <x:v>862.4</x:v>
      </x:c>
      <x:c r="K231" s="5" t="str">
        <x:v>Точная цена в редакторе</x:v>
      </x:c>
      <x:c r="L231" s="5" t="str">
        <x:v>видео</x:v>
      </x:c>
      <x:c r="M231" s="7" t="n">
        <x:f>IF(J231="","",ROUND(J231*Tariffs!$D$5,2))</x:f>
        <x:v>717.23</x:v>
      </x:c>
      <x:c r="N231" s="7" t="n">
        <x:f>IF(J231="","",ROUND(J231*Tariffs!$D$6,2))</x:f>
        <x:v>717.95</x:v>
      </x:c>
      <x:c r="O231" s="7" t="n">
        <x:f>IF(J231="","",ROUND(J231*Tariffs!$D$7,2))</x:f>
        <x:v>718.52</x:v>
      </x:c>
      <x:c r="P231" s="5" t="str">
        <x:v>https://neuromia.ru/app/video/seedance</x:v>
      </x:c>
      <x:c r="Q231" s="8" t="n">
        <x:v>46282.375</x:v>
      </x:c>
      <x:c r="R231" s="5" t="str">
        <x:v>Каждая длительность 4–30 с была выбрана отдельно; ряд совпал с указанной ставкой.</x:v>
      </x:c>
    </x:row>
    <x:row r="232" ht="22" customHeight="1">
      <x:c r="A232" s="5" t="str">
        <x:v>Видео</x:v>
      </x:c>
      <x:c r="B232" s="5" t="str">
        <x:v>Seedance 2.5</x:v>
      </x:c>
      <x:c r="C232" s="5" t="str">
        <x:v>Текст → видео</x:v>
      </x:c>
      <x:c r="D232" s="5" t="str">
        <x:v>480p</x:v>
      </x:c>
      <x:c r="E232" s="5" t="str">
        <x:v>—</x:v>
      </x:c>
      <x:c r="F232" s="5" t="n">
        <x:v>29</x:v>
      </x:c>
      <x:c r="G232" s="5" t="str">
        <x:v>выключен</x:v>
      </x:c>
      <x:c r="H232" s="5" t="str">
        <x:v>Без исходного файла</x:v>
      </x:c>
      <x:c r="I232" s="6" t="n">
        <x:v>893.2</x:v>
      </x:c>
      <x:c r="J232" s="6" t="n">
        <x:v>893.2</x:v>
      </x:c>
      <x:c r="K232" s="5" t="str">
        <x:v>Точная цена в редакторе</x:v>
      </x:c>
      <x:c r="L232" s="5" t="str">
        <x:v>видео</x:v>
      </x:c>
      <x:c r="M232" s="7" t="n">
        <x:f>IF(J232="","",ROUND(J232*Tariffs!$D$5,2))</x:f>
        <x:v>742.84</x:v>
      </x:c>
      <x:c r="N232" s="7" t="n">
        <x:f>IF(J232="","",ROUND(J232*Tariffs!$D$6,2))</x:f>
        <x:v>743.59</x:v>
      </x:c>
      <x:c r="O232" s="7" t="n">
        <x:f>IF(J232="","",ROUND(J232*Tariffs!$D$7,2))</x:f>
        <x:v>744.18</x:v>
      </x:c>
      <x:c r="P232" s="5" t="str">
        <x:v>https://neuromia.ru/app/video/seedance</x:v>
      </x:c>
      <x:c r="Q232" s="8" t="n">
        <x:v>46282.375</x:v>
      </x:c>
      <x:c r="R232" s="5" t="str">
        <x:v>Каждая длительность 4–30 с была выбрана отдельно; ряд совпал с указанной ставкой.</x:v>
      </x:c>
    </x:row>
    <x:row r="233" ht="22" customHeight="1">
      <x:c r="A233" s="5" t="str">
        <x:v>Видео</x:v>
      </x:c>
      <x:c r="B233" s="5" t="str">
        <x:v>Seedance 2.5</x:v>
      </x:c>
      <x:c r="C233" s="5" t="str">
        <x:v>Текст → видео</x:v>
      </x:c>
      <x:c r="D233" s="5" t="str">
        <x:v>480p</x:v>
      </x:c>
      <x:c r="E233" s="5" t="str">
        <x:v>—</x:v>
      </x:c>
      <x:c r="F233" s="5" t="n">
        <x:v>30</x:v>
      </x:c>
      <x:c r="G233" s="5" t="str">
        <x:v>выключен</x:v>
      </x:c>
      <x:c r="H233" s="5" t="str">
        <x:v>Без исходного файла</x:v>
      </x:c>
      <x:c r="I233" s="6" t="n">
        <x:v>924</x:v>
      </x:c>
      <x:c r="J233" s="6" t="n">
        <x:v>924</x:v>
      </x:c>
      <x:c r="K233" s="5" t="str">
        <x:v>Точная цена в редакторе</x:v>
      </x:c>
      <x:c r="L233" s="5" t="str">
        <x:v>видео</x:v>
      </x:c>
      <x:c r="M233" s="7" t="n">
        <x:f>IF(J233="","",ROUND(J233*Tariffs!$D$5,2))</x:f>
        <x:v>768.46</x:v>
      </x:c>
      <x:c r="N233" s="7" t="n">
        <x:f>IF(J233="","",ROUND(J233*Tariffs!$D$6,2))</x:f>
        <x:v>769.23</x:v>
      </x:c>
      <x:c r="O233" s="7" t="n">
        <x:f>IF(J233="","",ROUND(J233*Tariffs!$D$7,2))</x:f>
        <x:v>769.85</x:v>
      </x:c>
      <x:c r="P233" s="5" t="str">
        <x:v>https://neuromia.ru/app/video/seedance</x:v>
      </x:c>
      <x:c r="Q233" s="8" t="n">
        <x:v>46282.375</x:v>
      </x:c>
      <x:c r="R233" s="5" t="str">
        <x:v>Каждая длительность 4–30 с была выбрана отдельно; ряд совпал с указанной ставкой.</x:v>
      </x:c>
    </x:row>
    <x:row r="234" ht="22" customHeight="1">
      <x:c r="A234" s="5" t="str">
        <x:v>Видео</x:v>
      </x:c>
      <x:c r="B234" s="5" t="str">
        <x:v>Seedance 2.5</x:v>
      </x:c>
      <x:c r="C234" s="5" t="str">
        <x:v>Текст → видео</x:v>
      </x:c>
      <x:c r="D234" s="5" t="str">
        <x:v>720p</x:v>
      </x:c>
      <x:c r="E234" s="5" t="str">
        <x:v>—</x:v>
      </x:c>
      <x:c r="F234" s="5" t="n">
        <x:v>4</x:v>
      </x:c>
      <x:c r="G234" s="5" t="str">
        <x:v>выключен</x:v>
      </x:c>
      <x:c r="H234" s="5" t="str">
        <x:v>Без исходного файла</x:v>
      </x:c>
      <x:c r="I234" s="6" t="n">
        <x:v>277.2</x:v>
      </x:c>
      <x:c r="J234" s="6" t="n">
        <x:v>277.2</x:v>
      </x:c>
      <x:c r="K234" s="5" t="str">
        <x:v>Точная цена в редакторе</x:v>
      </x:c>
      <x:c r="L234" s="5" t="str">
        <x:v>видео</x:v>
      </x:c>
      <x:c r="M234" s="7" t="n">
        <x:f>IF(J234="","",ROUND(J234*Tariffs!$D$5,2))</x:f>
        <x:v>230.54</x:v>
      </x:c>
      <x:c r="N234" s="7" t="n">
        <x:f>IF(J234="","",ROUND(J234*Tariffs!$D$6,2))</x:f>
        <x:v>230.77</x:v>
      </x:c>
      <x:c r="O234" s="7" t="n">
        <x:f>IF(J234="","",ROUND(J234*Tariffs!$D$7,2))</x:f>
        <x:v>230.95</x:v>
      </x:c>
      <x:c r="P234" s="5" t="str">
        <x:v>https://neuromia.ru/app/video/seedance</x:v>
      </x:c>
      <x:c r="Q234" s="8" t="n">
        <x:v>46282.375</x:v>
      </x:c>
      <x:c r="R234" s="5" t="str">
        <x:v>Каждая длительность 4–30 с была выбрана отдельно; ряд совпал с указанной ставкой.</x:v>
      </x:c>
    </x:row>
    <x:row r="235" ht="22" customHeight="1">
      <x:c r="A235" s="5" t="str">
        <x:v>Видео</x:v>
      </x:c>
      <x:c r="B235" s="5" t="str">
        <x:v>Seedance 2.5</x:v>
      </x:c>
      <x:c r="C235" s="5" t="str">
        <x:v>Текст → видео</x:v>
      </x:c>
      <x:c r="D235" s="5" t="str">
        <x:v>720p</x:v>
      </x:c>
      <x:c r="E235" s="5" t="str">
        <x:v>—</x:v>
      </x:c>
      <x:c r="F235" s="5" t="n">
        <x:v>5</x:v>
      </x:c>
      <x:c r="G235" s="5" t="str">
        <x:v>выключен</x:v>
      </x:c>
      <x:c r="H235" s="5" t="str">
        <x:v>Без исходного файла</x:v>
      </x:c>
      <x:c r="I235" s="6" t="n">
        <x:v>346.5</x:v>
      </x:c>
      <x:c r="J235" s="6" t="n">
        <x:v>346.5</x:v>
      </x:c>
      <x:c r="K235" s="5" t="str">
        <x:v>Точная цена в редакторе</x:v>
      </x:c>
      <x:c r="L235" s="5" t="str">
        <x:v>видео</x:v>
      </x:c>
      <x:c r="M235" s="7" t="n">
        <x:f>IF(J235="","",ROUND(J235*Tariffs!$D$5,2))</x:f>
        <x:v>288.17</x:v>
      </x:c>
      <x:c r="N235" s="7" t="n">
        <x:f>IF(J235="","",ROUND(J235*Tariffs!$D$6,2))</x:f>
        <x:v>288.46</x:v>
      </x:c>
      <x:c r="O235" s="7" t="n">
        <x:f>IF(J235="","",ROUND(J235*Tariffs!$D$7,2))</x:f>
        <x:v>288.69</x:v>
      </x:c>
      <x:c r="P235" s="5" t="str">
        <x:v>https://neuromia.ru/app/video/seedance</x:v>
      </x:c>
      <x:c r="Q235" s="8" t="n">
        <x:v>46282.375</x:v>
      </x:c>
      <x:c r="R235" s="5" t="str">
        <x:v>Каждая длительность 4–30 с была выбрана отдельно; ряд совпал с указанной ставкой.</x:v>
      </x:c>
    </x:row>
    <x:row r="236" ht="22" customHeight="1">
      <x:c r="A236" s="5" t="str">
        <x:v>Видео</x:v>
      </x:c>
      <x:c r="B236" s="5" t="str">
        <x:v>Seedance 2.5</x:v>
      </x:c>
      <x:c r="C236" s="5" t="str">
        <x:v>Текст → видео</x:v>
      </x:c>
      <x:c r="D236" s="5" t="str">
        <x:v>720p</x:v>
      </x:c>
      <x:c r="E236" s="5" t="str">
        <x:v>—</x:v>
      </x:c>
      <x:c r="F236" s="5" t="n">
        <x:v>6</x:v>
      </x:c>
      <x:c r="G236" s="5" t="str">
        <x:v>выключен</x:v>
      </x:c>
      <x:c r="H236" s="5" t="str">
        <x:v>Без исходного файла</x:v>
      </x:c>
      <x:c r="I236" s="6" t="n">
        <x:v>415.8</x:v>
      </x:c>
      <x:c r="J236" s="6" t="n">
        <x:v>415.8</x:v>
      </x:c>
      <x:c r="K236" s="5" t="str">
        <x:v>Точная цена в редакторе</x:v>
      </x:c>
      <x:c r="L236" s="5" t="str">
        <x:v>видео</x:v>
      </x:c>
      <x:c r="M236" s="7" t="n">
        <x:f>IF(J236="","",ROUND(J236*Tariffs!$D$5,2))</x:f>
        <x:v>345.81</x:v>
      </x:c>
      <x:c r="N236" s="7" t="n">
        <x:f>IF(J236="","",ROUND(J236*Tariffs!$D$6,2))</x:f>
        <x:v>346.15</x:v>
      </x:c>
      <x:c r="O236" s="7" t="n">
        <x:f>IF(J236="","",ROUND(J236*Tariffs!$D$7,2))</x:f>
        <x:v>346.43</x:v>
      </x:c>
      <x:c r="P236" s="5" t="str">
        <x:v>https://neuromia.ru/app/video/seedance</x:v>
      </x:c>
      <x:c r="Q236" s="8" t="n">
        <x:v>46282.375</x:v>
      </x:c>
      <x:c r="R236" s="5" t="str">
        <x:v>Каждая длительность 4–30 с была выбрана отдельно; ряд совпал с указанной ставкой.</x:v>
      </x:c>
    </x:row>
    <x:row r="237" ht="22" customHeight="1">
      <x:c r="A237" s="5" t="str">
        <x:v>Видео</x:v>
      </x:c>
      <x:c r="B237" s="5" t="str">
        <x:v>Seedance 2.5</x:v>
      </x:c>
      <x:c r="C237" s="5" t="str">
        <x:v>Текст → видео</x:v>
      </x:c>
      <x:c r="D237" s="5" t="str">
        <x:v>720p</x:v>
      </x:c>
      <x:c r="E237" s="5" t="str">
        <x:v>—</x:v>
      </x:c>
      <x:c r="F237" s="5" t="n">
        <x:v>7</x:v>
      </x:c>
      <x:c r="G237" s="5" t="str">
        <x:v>выключен</x:v>
      </x:c>
      <x:c r="H237" s="5" t="str">
        <x:v>Без исходного файла</x:v>
      </x:c>
      <x:c r="I237" s="6" t="n">
        <x:v>485.1</x:v>
      </x:c>
      <x:c r="J237" s="6" t="n">
        <x:v>485.1</x:v>
      </x:c>
      <x:c r="K237" s="5" t="str">
        <x:v>Точная цена в редакторе</x:v>
      </x:c>
      <x:c r="L237" s="5" t="str">
        <x:v>видео</x:v>
      </x:c>
      <x:c r="M237" s="7" t="n">
        <x:f>IF(J237="","",ROUND(J237*Tariffs!$D$5,2))</x:f>
        <x:v>403.44</x:v>
      </x:c>
      <x:c r="N237" s="7" t="n">
        <x:f>IF(J237="","",ROUND(J237*Tariffs!$D$6,2))</x:f>
        <x:v>403.85</x:v>
      </x:c>
      <x:c r="O237" s="7" t="n">
        <x:f>IF(J237="","",ROUND(J237*Tariffs!$D$7,2))</x:f>
        <x:v>404.17</x:v>
      </x:c>
      <x:c r="P237" s="5" t="str">
        <x:v>https://neuromia.ru/app/video/seedance</x:v>
      </x:c>
      <x:c r="Q237" s="8" t="n">
        <x:v>46282.375</x:v>
      </x:c>
      <x:c r="R237" s="5" t="str">
        <x:v>Каждая длительность 4–30 с была выбрана отдельно; ряд совпал с указанной ставкой.</x:v>
      </x:c>
    </x:row>
    <x:row r="238" ht="22" customHeight="1">
      <x:c r="A238" s="5" t="str">
        <x:v>Видео</x:v>
      </x:c>
      <x:c r="B238" s="5" t="str">
        <x:v>Seedance 2.5</x:v>
      </x:c>
      <x:c r="C238" s="5" t="str">
        <x:v>Текст → видео</x:v>
      </x:c>
      <x:c r="D238" s="5" t="str">
        <x:v>720p</x:v>
      </x:c>
      <x:c r="E238" s="5" t="str">
        <x:v>—</x:v>
      </x:c>
      <x:c r="F238" s="5" t="n">
        <x:v>8</x:v>
      </x:c>
      <x:c r="G238" s="5" t="str">
        <x:v>выключен</x:v>
      </x:c>
      <x:c r="H238" s="5" t="str">
        <x:v>Без исходного файла</x:v>
      </x:c>
      <x:c r="I238" s="6" t="n">
        <x:v>554.4</x:v>
      </x:c>
      <x:c r="J238" s="6" t="n">
        <x:v>554.4</x:v>
      </x:c>
      <x:c r="K238" s="5" t="str">
        <x:v>Точная цена в редакторе</x:v>
      </x:c>
      <x:c r="L238" s="5" t="str">
        <x:v>видео</x:v>
      </x:c>
      <x:c r="M238" s="7" t="n">
        <x:f>IF(J238="","",ROUND(J238*Tariffs!$D$5,2))</x:f>
        <x:v>461.08</x:v>
      </x:c>
      <x:c r="N238" s="7" t="n">
        <x:f>IF(J238="","",ROUND(J238*Tariffs!$D$6,2))</x:f>
        <x:v>461.54</x:v>
      </x:c>
      <x:c r="O238" s="7" t="n">
        <x:f>IF(J238="","",ROUND(J238*Tariffs!$D$7,2))</x:f>
        <x:v>461.91</x:v>
      </x:c>
      <x:c r="P238" s="5" t="str">
        <x:v>https://neuromia.ru/app/video/seedance</x:v>
      </x:c>
      <x:c r="Q238" s="8" t="n">
        <x:v>46282.375</x:v>
      </x:c>
      <x:c r="R238" s="5" t="str">
        <x:v>Каждая длительность 4–30 с была выбрана отдельно; ряд совпал с указанной ставкой.</x:v>
      </x:c>
    </x:row>
    <x:row r="239" ht="22" customHeight="1">
      <x:c r="A239" s="5" t="str">
        <x:v>Видео</x:v>
      </x:c>
      <x:c r="B239" s="5" t="str">
        <x:v>Seedance 2.5</x:v>
      </x:c>
      <x:c r="C239" s="5" t="str">
        <x:v>Текст → видео</x:v>
      </x:c>
      <x:c r="D239" s="5" t="str">
        <x:v>720p</x:v>
      </x:c>
      <x:c r="E239" s="5" t="str">
        <x:v>—</x:v>
      </x:c>
      <x:c r="F239" s="5" t="n">
        <x:v>9</x:v>
      </x:c>
      <x:c r="G239" s="5" t="str">
        <x:v>выключен</x:v>
      </x:c>
      <x:c r="H239" s="5" t="str">
        <x:v>Без исходного файла</x:v>
      </x:c>
      <x:c r="I239" s="6" t="n">
        <x:v>623.7</x:v>
      </x:c>
      <x:c r="J239" s="6" t="n">
        <x:v>623.7</x:v>
      </x:c>
      <x:c r="K239" s="5" t="str">
        <x:v>Точная цена в редакторе</x:v>
      </x:c>
      <x:c r="L239" s="5" t="str">
        <x:v>видео</x:v>
      </x:c>
      <x:c r="M239" s="7" t="n">
        <x:f>IF(J239="","",ROUND(J239*Tariffs!$D$5,2))</x:f>
        <x:v>518.71</x:v>
      </x:c>
      <x:c r="N239" s="7" t="n">
        <x:f>IF(J239="","",ROUND(J239*Tariffs!$D$6,2))</x:f>
        <x:v>519.23</x:v>
      </x:c>
      <x:c r="O239" s="7" t="n">
        <x:f>IF(J239="","",ROUND(J239*Tariffs!$D$7,2))</x:f>
        <x:v>519.65</x:v>
      </x:c>
      <x:c r="P239" s="5" t="str">
        <x:v>https://neuromia.ru/app/video/seedance</x:v>
      </x:c>
      <x:c r="Q239" s="8" t="n">
        <x:v>46282.375</x:v>
      </x:c>
      <x:c r="R239" s="5" t="str">
        <x:v>Каждая длительность 4–30 с была выбрана отдельно; ряд совпал с указанной ставкой.</x:v>
      </x:c>
    </x:row>
    <x:row r="240" ht="22" customHeight="1">
      <x:c r="A240" s="5" t="str">
        <x:v>Видео</x:v>
      </x:c>
      <x:c r="B240" s="5" t="str">
        <x:v>Seedance 2.5</x:v>
      </x:c>
      <x:c r="C240" s="5" t="str">
        <x:v>Текст → видео</x:v>
      </x:c>
      <x:c r="D240" s="5" t="str">
        <x:v>720p</x:v>
      </x:c>
      <x:c r="E240" s="5" t="str">
        <x:v>—</x:v>
      </x:c>
      <x:c r="F240" s="5" t="n">
        <x:v>10</x:v>
      </x:c>
      <x:c r="G240" s="5" t="str">
        <x:v>выключен</x:v>
      </x:c>
      <x:c r="H240" s="5" t="str">
        <x:v>Без исходного файла</x:v>
      </x:c>
      <x:c r="I240" s="6" t="n">
        <x:v>693</x:v>
      </x:c>
      <x:c r="J240" s="6" t="n">
        <x:v>693</x:v>
      </x:c>
      <x:c r="K240" s="5" t="str">
        <x:v>Точная цена в редакторе</x:v>
      </x:c>
      <x:c r="L240" s="5" t="str">
        <x:v>видео</x:v>
      </x:c>
      <x:c r="M240" s="7" t="n">
        <x:f>IF(J240="","",ROUND(J240*Tariffs!$D$5,2))</x:f>
        <x:v>576.35</x:v>
      </x:c>
      <x:c r="N240" s="7" t="n">
        <x:f>IF(J240="","",ROUND(J240*Tariffs!$D$6,2))</x:f>
        <x:v>576.92</x:v>
      </x:c>
      <x:c r="O240" s="7" t="n">
        <x:f>IF(J240="","",ROUND(J240*Tariffs!$D$7,2))</x:f>
        <x:v>577.38</x:v>
      </x:c>
      <x:c r="P240" s="5" t="str">
        <x:v>https://neuromia.ru/app/video/seedance</x:v>
      </x:c>
      <x:c r="Q240" s="8" t="n">
        <x:v>46282.375</x:v>
      </x:c>
      <x:c r="R240" s="5" t="str">
        <x:v>Каждая длительность 4–30 с была выбрана отдельно; ряд совпал с указанной ставкой.</x:v>
      </x:c>
    </x:row>
    <x:row r="241" ht="22" customHeight="1">
      <x:c r="A241" s="5" t="str">
        <x:v>Видео</x:v>
      </x:c>
      <x:c r="B241" s="5" t="str">
        <x:v>Seedance 2.5</x:v>
      </x:c>
      <x:c r="C241" s="5" t="str">
        <x:v>Текст → видео</x:v>
      </x:c>
      <x:c r="D241" s="5" t="str">
        <x:v>720p</x:v>
      </x:c>
      <x:c r="E241" s="5" t="str">
        <x:v>—</x:v>
      </x:c>
      <x:c r="F241" s="5" t="n">
        <x:v>11</x:v>
      </x:c>
      <x:c r="G241" s="5" t="str">
        <x:v>выключен</x:v>
      </x:c>
      <x:c r="H241" s="5" t="str">
        <x:v>Без исходного файла</x:v>
      </x:c>
      <x:c r="I241" s="6" t="n">
        <x:v>762.3</x:v>
      </x:c>
      <x:c r="J241" s="6" t="n">
        <x:v>762.3</x:v>
      </x:c>
      <x:c r="K241" s="5" t="str">
        <x:v>Точная цена в редакторе</x:v>
      </x:c>
      <x:c r="L241" s="5" t="str">
        <x:v>видео</x:v>
      </x:c>
      <x:c r="M241" s="7" t="n">
        <x:f>IF(J241="","",ROUND(J241*Tariffs!$D$5,2))</x:f>
        <x:v>633.98</x:v>
      </x:c>
      <x:c r="N241" s="7" t="n">
        <x:f>IF(J241="","",ROUND(J241*Tariffs!$D$6,2))</x:f>
        <x:v>634.61</x:v>
      </x:c>
      <x:c r="O241" s="7" t="n">
        <x:f>IF(J241="","",ROUND(J241*Tariffs!$D$7,2))</x:f>
        <x:v>635.12</x:v>
      </x:c>
      <x:c r="P241" s="5" t="str">
        <x:v>https://neuromia.ru/app/video/seedance</x:v>
      </x:c>
      <x:c r="Q241" s="8" t="n">
        <x:v>46282.375</x:v>
      </x:c>
      <x:c r="R241" s="5" t="str">
        <x:v>Каждая длительность 4–30 с была выбрана отдельно; ряд совпал с указанной ставкой.</x:v>
      </x:c>
    </x:row>
    <x:row r="242" ht="22" customHeight="1">
      <x:c r="A242" s="5" t="str">
        <x:v>Видео</x:v>
      </x:c>
      <x:c r="B242" s="5" t="str">
        <x:v>Seedance 2.5</x:v>
      </x:c>
      <x:c r="C242" s="5" t="str">
        <x:v>Текст → видео</x:v>
      </x:c>
      <x:c r="D242" s="5" t="str">
        <x:v>720p</x:v>
      </x:c>
      <x:c r="E242" s="5" t="str">
        <x:v>—</x:v>
      </x:c>
      <x:c r="F242" s="5" t="n">
        <x:v>12</x:v>
      </x:c>
      <x:c r="G242" s="5" t="str">
        <x:v>выключен</x:v>
      </x:c>
      <x:c r="H242" s="5" t="str">
        <x:v>Без исходного файла</x:v>
      </x:c>
      <x:c r="I242" s="6" t="n">
        <x:v>831.6</x:v>
      </x:c>
      <x:c r="J242" s="6" t="n">
        <x:v>831.6</x:v>
      </x:c>
      <x:c r="K242" s="5" t="str">
        <x:v>Точная цена в редакторе</x:v>
      </x:c>
      <x:c r="L242" s="5" t="str">
        <x:v>видео</x:v>
      </x:c>
      <x:c r="M242" s="7" t="n">
        <x:f>IF(J242="","",ROUND(J242*Tariffs!$D$5,2))</x:f>
        <x:v>691.61</x:v>
      </x:c>
      <x:c r="N242" s="7" t="n">
        <x:f>IF(J242="","",ROUND(J242*Tariffs!$D$6,2))</x:f>
        <x:v>692.31</x:v>
      </x:c>
      <x:c r="O242" s="7" t="n">
        <x:f>IF(J242="","",ROUND(J242*Tariffs!$D$7,2))</x:f>
        <x:v>692.86</x:v>
      </x:c>
      <x:c r="P242" s="5" t="str">
        <x:v>https://neuromia.ru/app/video/seedance</x:v>
      </x:c>
      <x:c r="Q242" s="8" t="n">
        <x:v>46282.375</x:v>
      </x:c>
      <x:c r="R242" s="5" t="str">
        <x:v>Каждая длительность 4–30 с была выбрана отдельно; ряд совпал с указанной ставкой.</x:v>
      </x:c>
    </x:row>
    <x:row r="243" ht="22" customHeight="1">
      <x:c r="A243" s="5" t="str">
        <x:v>Видео</x:v>
      </x:c>
      <x:c r="B243" s="5" t="str">
        <x:v>Seedance 2.5</x:v>
      </x:c>
      <x:c r="C243" s="5" t="str">
        <x:v>Текст → видео</x:v>
      </x:c>
      <x:c r="D243" s="5" t="str">
        <x:v>720p</x:v>
      </x:c>
      <x:c r="E243" s="5" t="str">
        <x:v>—</x:v>
      </x:c>
      <x:c r="F243" s="5" t="n">
        <x:v>13</x:v>
      </x:c>
      <x:c r="G243" s="5" t="str">
        <x:v>выключен</x:v>
      </x:c>
      <x:c r="H243" s="5" t="str">
        <x:v>Без исходного файла</x:v>
      </x:c>
      <x:c r="I243" s="6" t="n">
        <x:v>900.9</x:v>
      </x:c>
      <x:c r="J243" s="6" t="n">
        <x:v>900.9</x:v>
      </x:c>
      <x:c r="K243" s="5" t="str">
        <x:v>Точная цена в редакторе</x:v>
      </x:c>
      <x:c r="L243" s="5" t="str">
        <x:v>видео</x:v>
      </x:c>
      <x:c r="M243" s="7" t="n">
        <x:f>IF(J243="","",ROUND(J243*Tariffs!$D$5,2))</x:f>
        <x:v>749.25</x:v>
      </x:c>
      <x:c r="N243" s="7" t="n">
        <x:f>IF(J243="","",ROUND(J243*Tariffs!$D$6,2))</x:f>
        <x:v>750</x:v>
      </x:c>
      <x:c r="O243" s="7" t="n">
        <x:f>IF(J243="","",ROUND(J243*Tariffs!$D$7,2))</x:f>
        <x:v>750.6</x:v>
      </x:c>
      <x:c r="P243" s="5" t="str">
        <x:v>https://neuromia.ru/app/video/seedance</x:v>
      </x:c>
      <x:c r="Q243" s="8" t="n">
        <x:v>46282.375</x:v>
      </x:c>
      <x:c r="R243" s="5" t="str">
        <x:v>Каждая длительность 4–30 с была выбрана отдельно; ряд совпал с указанной ставкой.</x:v>
      </x:c>
    </x:row>
    <x:row r="244" ht="22" customHeight="1">
      <x:c r="A244" s="5" t="str">
        <x:v>Видео</x:v>
      </x:c>
      <x:c r="B244" s="5" t="str">
        <x:v>Seedance 2.5</x:v>
      </x:c>
      <x:c r="C244" s="5" t="str">
        <x:v>Текст → видео</x:v>
      </x:c>
      <x:c r="D244" s="5" t="str">
        <x:v>720p</x:v>
      </x:c>
      <x:c r="E244" s="5" t="str">
        <x:v>—</x:v>
      </x:c>
      <x:c r="F244" s="5" t="n">
        <x:v>14</x:v>
      </x:c>
      <x:c r="G244" s="5" t="str">
        <x:v>выключен</x:v>
      </x:c>
      <x:c r="H244" s="5" t="str">
        <x:v>Без исходного файла</x:v>
      </x:c>
      <x:c r="I244" s="6" t="n">
        <x:v>970.2</x:v>
      </x:c>
      <x:c r="J244" s="6" t="n">
        <x:v>970.2</x:v>
      </x:c>
      <x:c r="K244" s="5" t="str">
        <x:v>Точная цена в редакторе</x:v>
      </x:c>
      <x:c r="L244" s="5" t="str">
        <x:v>видео</x:v>
      </x:c>
      <x:c r="M244" s="7" t="n">
        <x:f>IF(J244="","",ROUND(J244*Tariffs!$D$5,2))</x:f>
        <x:v>806.88</x:v>
      </x:c>
      <x:c r="N244" s="7" t="n">
        <x:f>IF(J244="","",ROUND(J244*Tariffs!$D$6,2))</x:f>
        <x:v>807.69</x:v>
      </x:c>
      <x:c r="O244" s="7" t="n">
        <x:f>IF(J244="","",ROUND(J244*Tariffs!$D$7,2))</x:f>
        <x:v>808.34</x:v>
      </x:c>
      <x:c r="P244" s="5" t="str">
        <x:v>https://neuromia.ru/app/video/seedance</x:v>
      </x:c>
      <x:c r="Q244" s="8" t="n">
        <x:v>46282.375</x:v>
      </x:c>
      <x:c r="R244" s="5" t="str">
        <x:v>Каждая длительность 4–30 с была выбрана отдельно; ряд совпал с указанной ставкой.</x:v>
      </x:c>
    </x:row>
    <x:row r="245" ht="22" customHeight="1">
      <x:c r="A245" s="5" t="str">
        <x:v>Видео</x:v>
      </x:c>
      <x:c r="B245" s="5" t="str">
        <x:v>Seedance 2.5</x:v>
      </x:c>
      <x:c r="C245" s="5" t="str">
        <x:v>Текст → видео</x:v>
      </x:c>
      <x:c r="D245" s="5" t="str">
        <x:v>720p</x:v>
      </x:c>
      <x:c r="E245" s="5" t="str">
        <x:v>—</x:v>
      </x:c>
      <x:c r="F245" s="5" t="n">
        <x:v>15</x:v>
      </x:c>
      <x:c r="G245" s="5" t="str">
        <x:v>выключен</x:v>
      </x:c>
      <x:c r="H245" s="5" t="str">
        <x:v>Без исходного файла</x:v>
      </x:c>
      <x:c r="I245" s="6" t="n">
        <x:v>1039.5</x:v>
      </x:c>
      <x:c r="J245" s="6" t="n">
        <x:v>1039.5</x:v>
      </x:c>
      <x:c r="K245" s="5" t="str">
        <x:v>Точная цена в редакторе</x:v>
      </x:c>
      <x:c r="L245" s="5" t="str">
        <x:v>видео</x:v>
      </x:c>
      <x:c r="M245" s="7" t="n">
        <x:f>IF(J245="","",ROUND(J245*Tariffs!$D$5,2))</x:f>
        <x:v>864.52</x:v>
      </x:c>
      <x:c r="N245" s="7" t="n">
        <x:f>IF(J245="","",ROUND(J245*Tariffs!$D$6,2))</x:f>
        <x:v>865.38</x:v>
      </x:c>
      <x:c r="O245" s="7" t="n">
        <x:f>IF(J245="","",ROUND(J245*Tariffs!$D$7,2))</x:f>
        <x:v>866.08</x:v>
      </x:c>
      <x:c r="P245" s="5" t="str">
        <x:v>https://neuromia.ru/app/video/seedance</x:v>
      </x:c>
      <x:c r="Q245" s="8" t="n">
        <x:v>46282.375</x:v>
      </x:c>
      <x:c r="R245" s="5" t="str">
        <x:v>Каждая длительность 4–30 с была выбрана отдельно; ряд совпал с указанной ставкой.</x:v>
      </x:c>
    </x:row>
    <x:row r="246" ht="22" customHeight="1">
      <x:c r="A246" s="5" t="str">
        <x:v>Видео</x:v>
      </x:c>
      <x:c r="B246" s="5" t="str">
        <x:v>Seedance 2.5</x:v>
      </x:c>
      <x:c r="C246" s="5" t="str">
        <x:v>Текст → видео</x:v>
      </x:c>
      <x:c r="D246" s="5" t="str">
        <x:v>720p</x:v>
      </x:c>
      <x:c r="E246" s="5" t="str">
        <x:v>—</x:v>
      </x:c>
      <x:c r="F246" s="5" t="n">
        <x:v>16</x:v>
      </x:c>
      <x:c r="G246" s="5" t="str">
        <x:v>выключен</x:v>
      </x:c>
      <x:c r="H246" s="5" t="str">
        <x:v>Без исходного файла</x:v>
      </x:c>
      <x:c r="I246" s="6" t="n">
        <x:v>1108.8</x:v>
      </x:c>
      <x:c r="J246" s="6" t="n">
        <x:v>1108.8</x:v>
      </x:c>
      <x:c r="K246" s="5" t="str">
        <x:v>Точная цена в редакторе</x:v>
      </x:c>
      <x:c r="L246" s="5" t="str">
        <x:v>видео</x:v>
      </x:c>
      <x:c r="M246" s="7" t="n">
        <x:f>IF(J246="","",ROUND(J246*Tariffs!$D$5,2))</x:f>
        <x:v>922.15</x:v>
      </x:c>
      <x:c r="N246" s="7" t="n">
        <x:f>IF(J246="","",ROUND(J246*Tariffs!$D$6,2))</x:f>
        <x:v>923.08</x:v>
      </x:c>
      <x:c r="O246" s="7" t="n">
        <x:f>IF(J246="","",ROUND(J246*Tariffs!$D$7,2))</x:f>
        <x:v>923.82</x:v>
      </x:c>
      <x:c r="P246" s="5" t="str">
        <x:v>https://neuromia.ru/app/video/seedance</x:v>
      </x:c>
      <x:c r="Q246" s="8" t="n">
        <x:v>46282.375</x:v>
      </x:c>
      <x:c r="R246" s="5" t="str">
        <x:v>Каждая длительность 4–30 с была выбрана отдельно; ряд совпал с указанной ставкой.</x:v>
      </x:c>
    </x:row>
    <x:row r="247" ht="22" customHeight="1">
      <x:c r="A247" s="5" t="str">
        <x:v>Видео</x:v>
      </x:c>
      <x:c r="B247" s="5" t="str">
        <x:v>Seedance 2.5</x:v>
      </x:c>
      <x:c r="C247" s="5" t="str">
        <x:v>Текст → видео</x:v>
      </x:c>
      <x:c r="D247" s="5" t="str">
        <x:v>720p</x:v>
      </x:c>
      <x:c r="E247" s="5" t="str">
        <x:v>—</x:v>
      </x:c>
      <x:c r="F247" s="5" t="n">
        <x:v>17</x:v>
      </x:c>
      <x:c r="G247" s="5" t="str">
        <x:v>выключен</x:v>
      </x:c>
      <x:c r="H247" s="5" t="str">
        <x:v>Без исходного файла</x:v>
      </x:c>
      <x:c r="I247" s="6" t="n">
        <x:v>1178.1</x:v>
      </x:c>
      <x:c r="J247" s="6" t="n">
        <x:v>1178.1</x:v>
      </x:c>
      <x:c r="K247" s="5" t="str">
        <x:v>Точная цена в редакторе</x:v>
      </x:c>
      <x:c r="L247" s="5" t="str">
        <x:v>видео</x:v>
      </x:c>
      <x:c r="M247" s="7" t="n">
        <x:f>IF(J247="","",ROUND(J247*Tariffs!$D$5,2))</x:f>
        <x:v>979.79</x:v>
      </x:c>
      <x:c r="N247" s="7" t="n">
        <x:f>IF(J247="","",ROUND(J247*Tariffs!$D$6,2))</x:f>
        <x:v>980.77</x:v>
      </x:c>
      <x:c r="O247" s="7" t="n">
        <x:f>IF(J247="","",ROUND(J247*Tariffs!$D$7,2))</x:f>
        <x:v>981.55</x:v>
      </x:c>
      <x:c r="P247" s="5" t="str">
        <x:v>https://neuromia.ru/app/video/seedance</x:v>
      </x:c>
      <x:c r="Q247" s="8" t="n">
        <x:v>46282.375</x:v>
      </x:c>
      <x:c r="R247" s="5" t="str">
        <x:v>Каждая длительность 4–30 с была выбрана отдельно; ряд совпал с указанной ставкой.</x:v>
      </x:c>
    </x:row>
    <x:row r="248" ht="22" customHeight="1">
      <x:c r="A248" s="5" t="str">
        <x:v>Видео</x:v>
      </x:c>
      <x:c r="B248" s="5" t="str">
        <x:v>Seedance 2.5</x:v>
      </x:c>
      <x:c r="C248" s="5" t="str">
        <x:v>Текст → видео</x:v>
      </x:c>
      <x:c r="D248" s="5" t="str">
        <x:v>720p</x:v>
      </x:c>
      <x:c r="E248" s="5" t="str">
        <x:v>—</x:v>
      </x:c>
      <x:c r="F248" s="5" t="n">
        <x:v>18</x:v>
      </x:c>
      <x:c r="G248" s="5" t="str">
        <x:v>выключен</x:v>
      </x:c>
      <x:c r="H248" s="5" t="str">
        <x:v>Без исходного файла</x:v>
      </x:c>
      <x:c r="I248" s="6" t="n">
        <x:v>1247.4</x:v>
      </x:c>
      <x:c r="J248" s="6" t="n">
        <x:v>1247.4</x:v>
      </x:c>
      <x:c r="K248" s="5" t="str">
        <x:v>Точная цена в редакторе</x:v>
      </x:c>
      <x:c r="L248" s="5" t="str">
        <x:v>видео</x:v>
      </x:c>
      <x:c r="M248" s="7" t="n">
        <x:f>IF(J248="","",ROUND(J248*Tariffs!$D$5,2))</x:f>
        <x:v>1037.42</x:v>
      </x:c>
      <x:c r="N248" s="7" t="n">
        <x:f>IF(J248="","",ROUND(J248*Tariffs!$D$6,2))</x:f>
        <x:v>1038.46</x:v>
      </x:c>
      <x:c r="O248" s="7" t="n">
        <x:f>IF(J248="","",ROUND(J248*Tariffs!$D$7,2))</x:f>
        <x:v>1039.29</x:v>
      </x:c>
      <x:c r="P248" s="5" t="str">
        <x:v>https://neuromia.ru/app/video/seedance</x:v>
      </x:c>
      <x:c r="Q248" s="8" t="n">
        <x:v>46282.375</x:v>
      </x:c>
      <x:c r="R248" s="5" t="str">
        <x:v>Каждая длительность 4–30 с была выбрана отдельно; ряд совпал с указанной ставкой.</x:v>
      </x:c>
    </x:row>
    <x:row r="249" ht="22" customHeight="1">
      <x:c r="A249" s="5" t="str">
        <x:v>Видео</x:v>
      </x:c>
      <x:c r="B249" s="5" t="str">
        <x:v>Seedance 2.5</x:v>
      </x:c>
      <x:c r="C249" s="5" t="str">
        <x:v>Текст → видео</x:v>
      </x:c>
      <x:c r="D249" s="5" t="str">
        <x:v>720p</x:v>
      </x:c>
      <x:c r="E249" s="5" t="str">
        <x:v>—</x:v>
      </x:c>
      <x:c r="F249" s="5" t="n">
        <x:v>19</x:v>
      </x:c>
      <x:c r="G249" s="5" t="str">
        <x:v>выключен</x:v>
      </x:c>
      <x:c r="H249" s="5" t="str">
        <x:v>Без исходного файла</x:v>
      </x:c>
      <x:c r="I249" s="6" t="n">
        <x:v>1316.7</x:v>
      </x:c>
      <x:c r="J249" s="6" t="n">
        <x:v>1316.7</x:v>
      </x:c>
      <x:c r="K249" s="5" t="str">
        <x:v>Точная цена в редакторе</x:v>
      </x:c>
      <x:c r="L249" s="5" t="str">
        <x:v>видео</x:v>
      </x:c>
      <x:c r="M249" s="7" t="n">
        <x:f>IF(J249="","",ROUND(J249*Tariffs!$D$5,2))</x:f>
        <x:v>1095.06</x:v>
      </x:c>
      <x:c r="N249" s="7" t="n">
        <x:f>IF(J249="","",ROUND(J249*Tariffs!$D$6,2))</x:f>
        <x:v>1096.15</x:v>
      </x:c>
      <x:c r="O249" s="7" t="n">
        <x:f>IF(J249="","",ROUND(J249*Tariffs!$D$7,2))</x:f>
        <x:v>1097.03</x:v>
      </x:c>
      <x:c r="P249" s="5" t="str">
        <x:v>https://neuromia.ru/app/video/seedance</x:v>
      </x:c>
      <x:c r="Q249" s="8" t="n">
        <x:v>46282.375</x:v>
      </x:c>
      <x:c r="R249" s="5" t="str">
        <x:v>Каждая длительность 4–30 с была выбрана отдельно; ряд совпал с указанной ставкой.</x:v>
      </x:c>
    </x:row>
    <x:row r="250" ht="22" customHeight="1">
      <x:c r="A250" s="5" t="str">
        <x:v>Видео</x:v>
      </x:c>
      <x:c r="B250" s="5" t="str">
        <x:v>Seedance 2.5</x:v>
      </x:c>
      <x:c r="C250" s="5" t="str">
        <x:v>Текст → видео</x:v>
      </x:c>
      <x:c r="D250" s="5" t="str">
        <x:v>720p</x:v>
      </x:c>
      <x:c r="E250" s="5" t="str">
        <x:v>—</x:v>
      </x:c>
      <x:c r="F250" s="5" t="n">
        <x:v>20</x:v>
      </x:c>
      <x:c r="G250" s="5" t="str">
        <x:v>выключен</x:v>
      </x:c>
      <x:c r="H250" s="5" t="str">
        <x:v>Без исходного файла</x:v>
      </x:c>
      <x:c r="I250" s="6" t="n">
        <x:v>1386</x:v>
      </x:c>
      <x:c r="J250" s="6" t="n">
        <x:v>1386</x:v>
      </x:c>
      <x:c r="K250" s="5" t="str">
        <x:v>Точная цена в редакторе</x:v>
      </x:c>
      <x:c r="L250" s="5" t="str">
        <x:v>видео</x:v>
      </x:c>
      <x:c r="M250" s="7" t="n">
        <x:f>IF(J250="","",ROUND(J250*Tariffs!$D$5,2))</x:f>
        <x:v>1152.69</x:v>
      </x:c>
      <x:c r="N250" s="7" t="n">
        <x:f>IF(J250="","",ROUND(J250*Tariffs!$D$6,2))</x:f>
        <x:v>1153.85</x:v>
      </x:c>
      <x:c r="O250" s="7" t="n">
        <x:f>IF(J250="","",ROUND(J250*Tariffs!$D$7,2))</x:f>
        <x:v>1154.77</x:v>
      </x:c>
      <x:c r="P250" s="5" t="str">
        <x:v>https://neuromia.ru/app/video/seedance</x:v>
      </x:c>
      <x:c r="Q250" s="8" t="n">
        <x:v>46282.375</x:v>
      </x:c>
      <x:c r="R250" s="5" t="str">
        <x:v>Каждая длительность 4–30 с была выбрана отдельно; ряд совпал с указанной ставкой.</x:v>
      </x:c>
    </x:row>
    <x:row r="251" ht="22" customHeight="1">
      <x:c r="A251" s="5" t="str">
        <x:v>Видео</x:v>
      </x:c>
      <x:c r="B251" s="5" t="str">
        <x:v>Seedance 2.5</x:v>
      </x:c>
      <x:c r="C251" s="5" t="str">
        <x:v>Текст → видео</x:v>
      </x:c>
      <x:c r="D251" s="5" t="str">
        <x:v>720p</x:v>
      </x:c>
      <x:c r="E251" s="5" t="str">
        <x:v>—</x:v>
      </x:c>
      <x:c r="F251" s="5" t="n">
        <x:v>21</x:v>
      </x:c>
      <x:c r="G251" s="5" t="str">
        <x:v>выключен</x:v>
      </x:c>
      <x:c r="H251" s="5" t="str">
        <x:v>Без исходного файла</x:v>
      </x:c>
      <x:c r="I251" s="6" t="n">
        <x:v>1455.3</x:v>
      </x:c>
      <x:c r="J251" s="6" t="n">
        <x:v>1455.3</x:v>
      </x:c>
      <x:c r="K251" s="5" t="str">
        <x:v>Точная цена в редакторе</x:v>
      </x:c>
      <x:c r="L251" s="5" t="str">
        <x:v>видео</x:v>
      </x:c>
      <x:c r="M251" s="7" t="n">
        <x:f>IF(J251="","",ROUND(J251*Tariffs!$D$5,2))</x:f>
        <x:v>1210.32</x:v>
      </x:c>
      <x:c r="N251" s="7" t="n">
        <x:f>IF(J251="","",ROUND(J251*Tariffs!$D$6,2))</x:f>
        <x:v>1211.54</x:v>
      </x:c>
      <x:c r="O251" s="7" t="n">
        <x:f>IF(J251="","",ROUND(J251*Tariffs!$D$7,2))</x:f>
        <x:v>1212.51</x:v>
      </x:c>
      <x:c r="P251" s="5" t="str">
        <x:v>https://neuromia.ru/app/video/seedance</x:v>
      </x:c>
      <x:c r="Q251" s="8" t="n">
        <x:v>46282.375</x:v>
      </x:c>
      <x:c r="R251" s="5" t="str">
        <x:v>Каждая длительность 4–30 с была выбрана отдельно; ряд совпал с указанной ставкой.</x:v>
      </x:c>
    </x:row>
    <x:row r="252" ht="22" customHeight="1">
      <x:c r="A252" s="5" t="str">
        <x:v>Видео</x:v>
      </x:c>
      <x:c r="B252" s="5" t="str">
        <x:v>Seedance 2.5</x:v>
      </x:c>
      <x:c r="C252" s="5" t="str">
        <x:v>Текст → видео</x:v>
      </x:c>
      <x:c r="D252" s="5" t="str">
        <x:v>720p</x:v>
      </x:c>
      <x:c r="E252" s="5" t="str">
        <x:v>—</x:v>
      </x:c>
      <x:c r="F252" s="5" t="n">
        <x:v>22</x:v>
      </x:c>
      <x:c r="G252" s="5" t="str">
        <x:v>выключен</x:v>
      </x:c>
      <x:c r="H252" s="5" t="str">
        <x:v>Без исходного файла</x:v>
      </x:c>
      <x:c r="I252" s="6" t="n">
        <x:v>1524.6</x:v>
      </x:c>
      <x:c r="J252" s="6" t="n">
        <x:v>1524.6</x:v>
      </x:c>
      <x:c r="K252" s="5" t="str">
        <x:v>Точная цена в редакторе</x:v>
      </x:c>
      <x:c r="L252" s="5" t="str">
        <x:v>видео</x:v>
      </x:c>
      <x:c r="M252" s="7" t="n">
        <x:f>IF(J252="","",ROUND(J252*Tariffs!$D$5,2))</x:f>
        <x:v>1267.96</x:v>
      </x:c>
      <x:c r="N252" s="7" t="n">
        <x:f>IF(J252="","",ROUND(J252*Tariffs!$D$6,2))</x:f>
        <x:v>1269.23</x:v>
      </x:c>
      <x:c r="O252" s="7" t="n">
        <x:f>IF(J252="","",ROUND(J252*Tariffs!$D$7,2))</x:f>
        <x:v>1270.25</x:v>
      </x:c>
      <x:c r="P252" s="5" t="str">
        <x:v>https://neuromia.ru/app/video/seedance</x:v>
      </x:c>
      <x:c r="Q252" s="8" t="n">
        <x:v>46282.375</x:v>
      </x:c>
      <x:c r="R252" s="5" t="str">
        <x:v>Каждая длительность 4–30 с была выбрана отдельно; ряд совпал с указанной ставкой.</x:v>
      </x:c>
    </x:row>
    <x:row r="253" ht="22" customHeight="1">
      <x:c r="A253" s="5" t="str">
        <x:v>Видео</x:v>
      </x:c>
      <x:c r="B253" s="5" t="str">
        <x:v>Seedance 2.5</x:v>
      </x:c>
      <x:c r="C253" s="5" t="str">
        <x:v>Текст → видео</x:v>
      </x:c>
      <x:c r="D253" s="5" t="str">
        <x:v>720p</x:v>
      </x:c>
      <x:c r="E253" s="5" t="str">
        <x:v>—</x:v>
      </x:c>
      <x:c r="F253" s="5" t="n">
        <x:v>23</x:v>
      </x:c>
      <x:c r="G253" s="5" t="str">
        <x:v>выключен</x:v>
      </x:c>
      <x:c r="H253" s="5" t="str">
        <x:v>Без исходного файла</x:v>
      </x:c>
      <x:c r="I253" s="6" t="n">
        <x:v>1593.9</x:v>
      </x:c>
      <x:c r="J253" s="6" t="n">
        <x:v>1593.9</x:v>
      </x:c>
      <x:c r="K253" s="5" t="str">
        <x:v>Точная цена в редакторе</x:v>
      </x:c>
      <x:c r="L253" s="5" t="str">
        <x:v>видео</x:v>
      </x:c>
      <x:c r="M253" s="7" t="n">
        <x:f>IF(J253="","",ROUND(J253*Tariffs!$D$5,2))</x:f>
        <x:v>1325.59</x:v>
      </x:c>
      <x:c r="N253" s="7" t="n">
        <x:f>IF(J253="","",ROUND(J253*Tariffs!$D$6,2))</x:f>
        <x:v>1326.92</x:v>
      </x:c>
      <x:c r="O253" s="7" t="n">
        <x:f>IF(J253="","",ROUND(J253*Tariffs!$D$7,2))</x:f>
        <x:v>1327.98</x:v>
      </x:c>
      <x:c r="P253" s="5" t="str">
        <x:v>https://neuromia.ru/app/video/seedance</x:v>
      </x:c>
      <x:c r="Q253" s="8" t="n">
        <x:v>46282.375</x:v>
      </x:c>
      <x:c r="R253" s="5" t="str">
        <x:v>Каждая длительность 4–30 с была выбрана отдельно; ряд совпал с указанной ставкой.</x:v>
      </x:c>
    </x:row>
    <x:row r="254" ht="22" customHeight="1">
      <x:c r="A254" s="5" t="str">
        <x:v>Видео</x:v>
      </x:c>
      <x:c r="B254" s="5" t="str">
        <x:v>Seedance 2.5</x:v>
      </x:c>
      <x:c r="C254" s="5" t="str">
        <x:v>Текст → видео</x:v>
      </x:c>
      <x:c r="D254" s="5" t="str">
        <x:v>720p</x:v>
      </x:c>
      <x:c r="E254" s="5" t="str">
        <x:v>—</x:v>
      </x:c>
      <x:c r="F254" s="5" t="n">
        <x:v>24</x:v>
      </x:c>
      <x:c r="G254" s="5" t="str">
        <x:v>выключен</x:v>
      </x:c>
      <x:c r="H254" s="5" t="str">
        <x:v>Без исходного файла</x:v>
      </x:c>
      <x:c r="I254" s="6" t="n">
        <x:v>1663.2</x:v>
      </x:c>
      <x:c r="J254" s="6" t="n">
        <x:v>1663.2</x:v>
      </x:c>
      <x:c r="K254" s="5" t="str">
        <x:v>Точная цена в редакторе</x:v>
      </x:c>
      <x:c r="L254" s="5" t="str">
        <x:v>видео</x:v>
      </x:c>
      <x:c r="M254" s="7" t="n">
        <x:f>IF(J254="","",ROUND(J254*Tariffs!$D$5,2))</x:f>
        <x:v>1383.23</x:v>
      </x:c>
      <x:c r="N254" s="7" t="n">
        <x:f>IF(J254="","",ROUND(J254*Tariffs!$D$6,2))</x:f>
        <x:v>1384.61</x:v>
      </x:c>
      <x:c r="O254" s="7" t="n">
        <x:f>IF(J254="","",ROUND(J254*Tariffs!$D$7,2))</x:f>
        <x:v>1385.72</x:v>
      </x:c>
      <x:c r="P254" s="5" t="str">
        <x:v>https://neuromia.ru/app/video/seedance</x:v>
      </x:c>
      <x:c r="Q254" s="8" t="n">
        <x:v>46282.375</x:v>
      </x:c>
      <x:c r="R254" s="5" t="str">
        <x:v>Каждая длительность 4–30 с была выбрана отдельно; ряд совпал с указанной ставкой.</x:v>
      </x:c>
    </x:row>
    <x:row r="255" ht="22" customHeight="1">
      <x:c r="A255" s="5" t="str">
        <x:v>Видео</x:v>
      </x:c>
      <x:c r="B255" s="5" t="str">
        <x:v>Seedance 2.5</x:v>
      </x:c>
      <x:c r="C255" s="5" t="str">
        <x:v>Текст → видео</x:v>
      </x:c>
      <x:c r="D255" s="5" t="str">
        <x:v>720p</x:v>
      </x:c>
      <x:c r="E255" s="5" t="str">
        <x:v>—</x:v>
      </x:c>
      <x:c r="F255" s="5" t="n">
        <x:v>25</x:v>
      </x:c>
      <x:c r="G255" s="5" t="str">
        <x:v>выключен</x:v>
      </x:c>
      <x:c r="H255" s="5" t="str">
        <x:v>Без исходного файла</x:v>
      </x:c>
      <x:c r="I255" s="6" t="n">
        <x:v>1732.5</x:v>
      </x:c>
      <x:c r="J255" s="6" t="n">
        <x:v>1732.5</x:v>
      </x:c>
      <x:c r="K255" s="5" t="str">
        <x:v>Точная цена в редакторе</x:v>
      </x:c>
      <x:c r="L255" s="5" t="str">
        <x:v>видео</x:v>
      </x:c>
      <x:c r="M255" s="7" t="n">
        <x:f>IF(J255="","",ROUND(J255*Tariffs!$D$5,2))</x:f>
        <x:v>1440.86</x:v>
      </x:c>
      <x:c r="N255" s="7" t="n">
        <x:f>IF(J255="","",ROUND(J255*Tariffs!$D$6,2))</x:f>
        <x:v>1442.31</x:v>
      </x:c>
      <x:c r="O255" s="7" t="n">
        <x:f>IF(J255="","",ROUND(J255*Tariffs!$D$7,2))</x:f>
        <x:v>1443.46</x:v>
      </x:c>
      <x:c r="P255" s="5" t="str">
        <x:v>https://neuromia.ru/app/video/seedance</x:v>
      </x:c>
      <x:c r="Q255" s="8" t="n">
        <x:v>46282.375</x:v>
      </x:c>
      <x:c r="R255" s="5" t="str">
        <x:v>Каждая длительность 4–30 с была выбрана отдельно; ряд совпал с указанной ставкой.</x:v>
      </x:c>
    </x:row>
    <x:row r="256" ht="22" customHeight="1">
      <x:c r="A256" s="5" t="str">
        <x:v>Видео</x:v>
      </x:c>
      <x:c r="B256" s="5" t="str">
        <x:v>Seedance 2.5</x:v>
      </x:c>
      <x:c r="C256" s="5" t="str">
        <x:v>Текст → видео</x:v>
      </x:c>
      <x:c r="D256" s="5" t="str">
        <x:v>720p</x:v>
      </x:c>
      <x:c r="E256" s="5" t="str">
        <x:v>—</x:v>
      </x:c>
      <x:c r="F256" s="5" t="n">
        <x:v>26</x:v>
      </x:c>
      <x:c r="G256" s="5" t="str">
        <x:v>выключен</x:v>
      </x:c>
      <x:c r="H256" s="5" t="str">
        <x:v>Без исходного файла</x:v>
      </x:c>
      <x:c r="I256" s="6" t="n">
        <x:v>1801.8</x:v>
      </x:c>
      <x:c r="J256" s="6" t="n">
        <x:v>1801.8</x:v>
      </x:c>
      <x:c r="K256" s="5" t="str">
        <x:v>Точная цена в редакторе</x:v>
      </x:c>
      <x:c r="L256" s="5" t="str">
        <x:v>видео</x:v>
      </x:c>
      <x:c r="M256" s="7" t="n">
        <x:f>IF(J256="","",ROUND(J256*Tariffs!$D$5,2))</x:f>
        <x:v>1498.5</x:v>
      </x:c>
      <x:c r="N256" s="7" t="n">
        <x:f>IF(J256="","",ROUND(J256*Tariffs!$D$6,2))</x:f>
        <x:v>1500</x:v>
      </x:c>
      <x:c r="O256" s="7" t="n">
        <x:f>IF(J256="","",ROUND(J256*Tariffs!$D$7,2))</x:f>
        <x:v>1501.2</x:v>
      </x:c>
      <x:c r="P256" s="5" t="str">
        <x:v>https://neuromia.ru/app/video/seedance</x:v>
      </x:c>
      <x:c r="Q256" s="8" t="n">
        <x:v>46282.375</x:v>
      </x:c>
      <x:c r="R256" s="5" t="str">
        <x:v>Каждая длительность 4–30 с была выбрана отдельно; ряд совпал с указанной ставкой.</x:v>
      </x:c>
    </x:row>
    <x:row r="257" ht="22" customHeight="1">
      <x:c r="A257" s="5" t="str">
        <x:v>Видео</x:v>
      </x:c>
      <x:c r="B257" s="5" t="str">
        <x:v>Seedance 2.5</x:v>
      </x:c>
      <x:c r="C257" s="5" t="str">
        <x:v>Текст → видео</x:v>
      </x:c>
      <x:c r="D257" s="5" t="str">
        <x:v>720p</x:v>
      </x:c>
      <x:c r="E257" s="5" t="str">
        <x:v>—</x:v>
      </x:c>
      <x:c r="F257" s="5" t="n">
        <x:v>27</x:v>
      </x:c>
      <x:c r="G257" s="5" t="str">
        <x:v>выключен</x:v>
      </x:c>
      <x:c r="H257" s="5" t="str">
        <x:v>Без исходного файла</x:v>
      </x:c>
      <x:c r="I257" s="6" t="n">
        <x:v>1871.1</x:v>
      </x:c>
      <x:c r="J257" s="6" t="n">
        <x:v>1871.1</x:v>
      </x:c>
      <x:c r="K257" s="5" t="str">
        <x:v>Точная цена в редакторе</x:v>
      </x:c>
      <x:c r="L257" s="5" t="str">
        <x:v>видео</x:v>
      </x:c>
      <x:c r="M257" s="7" t="n">
        <x:f>IF(J257="","",ROUND(J257*Tariffs!$D$5,2))</x:f>
        <x:v>1556.13</x:v>
      </x:c>
      <x:c r="N257" s="7" t="n">
        <x:f>IF(J257="","",ROUND(J257*Tariffs!$D$6,2))</x:f>
        <x:v>1557.69</x:v>
      </x:c>
      <x:c r="O257" s="7" t="n">
        <x:f>IF(J257="","",ROUND(J257*Tariffs!$D$7,2))</x:f>
        <x:v>1558.94</x:v>
      </x:c>
      <x:c r="P257" s="5" t="str">
        <x:v>https://neuromia.ru/app/video/seedance</x:v>
      </x:c>
      <x:c r="Q257" s="8" t="n">
        <x:v>46282.375</x:v>
      </x:c>
      <x:c r="R257" s="5" t="str">
        <x:v>Каждая длительность 4–30 с была выбрана отдельно; ряд совпал с указанной ставкой.</x:v>
      </x:c>
    </x:row>
    <x:row r="258" ht="22" customHeight="1">
      <x:c r="A258" s="5" t="str">
        <x:v>Видео</x:v>
      </x:c>
      <x:c r="B258" s="5" t="str">
        <x:v>Seedance 2.5</x:v>
      </x:c>
      <x:c r="C258" s="5" t="str">
        <x:v>Текст → видео</x:v>
      </x:c>
      <x:c r="D258" s="5" t="str">
        <x:v>720p</x:v>
      </x:c>
      <x:c r="E258" s="5" t="str">
        <x:v>—</x:v>
      </x:c>
      <x:c r="F258" s="5" t="n">
        <x:v>28</x:v>
      </x:c>
      <x:c r="G258" s="5" t="str">
        <x:v>выключен</x:v>
      </x:c>
      <x:c r="H258" s="5" t="str">
        <x:v>Без исходного файла</x:v>
      </x:c>
      <x:c r="I258" s="6" t="n">
        <x:v>1940.4</x:v>
      </x:c>
      <x:c r="J258" s="6" t="n">
        <x:v>1940.4</x:v>
      </x:c>
      <x:c r="K258" s="5" t="str">
        <x:v>Точная цена в редакторе</x:v>
      </x:c>
      <x:c r="L258" s="5" t="str">
        <x:v>видео</x:v>
      </x:c>
      <x:c r="M258" s="7" t="n">
        <x:f>IF(J258="","",ROUND(J258*Tariffs!$D$5,2))</x:f>
        <x:v>1613.77</x:v>
      </x:c>
      <x:c r="N258" s="7" t="n">
        <x:f>IF(J258="","",ROUND(J258*Tariffs!$D$6,2))</x:f>
        <x:v>1615.38</x:v>
      </x:c>
      <x:c r="O258" s="7" t="n">
        <x:f>IF(J258="","",ROUND(J258*Tariffs!$D$7,2))</x:f>
        <x:v>1616.68</x:v>
      </x:c>
      <x:c r="P258" s="5" t="str">
        <x:v>https://neuromia.ru/app/video/seedance</x:v>
      </x:c>
      <x:c r="Q258" s="8" t="n">
        <x:v>46282.375</x:v>
      </x:c>
      <x:c r="R258" s="5" t="str">
        <x:v>Каждая длительность 4–30 с была выбрана отдельно; ряд совпал с указанной ставкой.</x:v>
      </x:c>
    </x:row>
    <x:row r="259" ht="22" customHeight="1">
      <x:c r="A259" s="5" t="str">
        <x:v>Видео</x:v>
      </x:c>
      <x:c r="B259" s="5" t="str">
        <x:v>Seedance 2.5</x:v>
      </x:c>
      <x:c r="C259" s="5" t="str">
        <x:v>Текст → видео</x:v>
      </x:c>
      <x:c r="D259" s="5" t="str">
        <x:v>720p</x:v>
      </x:c>
      <x:c r="E259" s="5" t="str">
        <x:v>—</x:v>
      </x:c>
      <x:c r="F259" s="5" t="n">
        <x:v>29</x:v>
      </x:c>
      <x:c r="G259" s="5" t="str">
        <x:v>выключен</x:v>
      </x:c>
      <x:c r="H259" s="5" t="str">
        <x:v>Без исходного файла</x:v>
      </x:c>
      <x:c r="I259" s="6" t="n">
        <x:v>2009.7</x:v>
      </x:c>
      <x:c r="J259" s="6" t="n">
        <x:v>2009.7</x:v>
      </x:c>
      <x:c r="K259" s="5" t="str">
        <x:v>Точная цена в редакторе</x:v>
      </x:c>
      <x:c r="L259" s="5" t="str">
        <x:v>видео</x:v>
      </x:c>
      <x:c r="M259" s="7" t="n">
        <x:f>IF(J259="","",ROUND(J259*Tariffs!$D$5,2))</x:f>
        <x:v>1671.4</x:v>
      </x:c>
      <x:c r="N259" s="7" t="n">
        <x:f>IF(J259="","",ROUND(J259*Tariffs!$D$6,2))</x:f>
        <x:v>1673.08</x:v>
      </x:c>
      <x:c r="O259" s="7" t="n">
        <x:f>IF(J259="","",ROUND(J259*Tariffs!$D$7,2))</x:f>
        <x:v>1674.42</x:v>
      </x:c>
      <x:c r="P259" s="5" t="str">
        <x:v>https://neuromia.ru/app/video/seedance</x:v>
      </x:c>
      <x:c r="Q259" s="8" t="n">
        <x:v>46282.375</x:v>
      </x:c>
      <x:c r="R259" s="5" t="str">
        <x:v>Каждая длительность 4–30 с была выбрана отдельно; ряд совпал с указанной ставкой.</x:v>
      </x:c>
    </x:row>
    <x:row r="260" ht="22" customHeight="1">
      <x:c r="A260" s="5" t="str">
        <x:v>Видео</x:v>
      </x:c>
      <x:c r="B260" s="5" t="str">
        <x:v>Seedance 2.5</x:v>
      </x:c>
      <x:c r="C260" s="5" t="str">
        <x:v>Текст → видео</x:v>
      </x:c>
      <x:c r="D260" s="5" t="str">
        <x:v>720p</x:v>
      </x:c>
      <x:c r="E260" s="5" t="str">
        <x:v>—</x:v>
      </x:c>
      <x:c r="F260" s="5" t="n">
        <x:v>30</x:v>
      </x:c>
      <x:c r="G260" s="5" t="str">
        <x:v>выключен</x:v>
      </x:c>
      <x:c r="H260" s="5" t="str">
        <x:v>Без исходного файла</x:v>
      </x:c>
      <x:c r="I260" s="6" t="n">
        <x:v>2079</x:v>
      </x:c>
      <x:c r="J260" s="6" t="n">
        <x:v>2079</x:v>
      </x:c>
      <x:c r="K260" s="5" t="str">
        <x:v>Точная цена в редакторе</x:v>
      </x:c>
      <x:c r="L260" s="5" t="str">
        <x:v>видео</x:v>
      </x:c>
      <x:c r="M260" s="7" t="n">
        <x:f>IF(J260="","",ROUND(J260*Tariffs!$D$5,2))</x:f>
        <x:v>1729.04</x:v>
      </x:c>
      <x:c r="N260" s="7" t="n">
        <x:f>IF(J260="","",ROUND(J260*Tariffs!$D$6,2))</x:f>
        <x:v>1730.77</x:v>
      </x:c>
      <x:c r="O260" s="7" t="n">
        <x:f>IF(J260="","",ROUND(J260*Tariffs!$D$7,2))</x:f>
        <x:v>1732.15</x:v>
      </x:c>
      <x:c r="P260" s="5" t="str">
        <x:v>https://neuromia.ru/app/video/seedance</x:v>
      </x:c>
      <x:c r="Q260" s="8" t="n">
        <x:v>46282.375</x:v>
      </x:c>
      <x:c r="R260" s="5" t="str">
        <x:v>Каждая длительность 4–30 с была выбрана отдельно; ряд совпал с указанной ставкой.</x:v>
      </x:c>
    </x:row>
    <x:row r="261" ht="22" customHeight="1">
      <x:c r="A261" s="5" t="str">
        <x:v>Видео</x:v>
      </x:c>
      <x:c r="B261" s="5" t="str">
        <x:v>Seedance 2.5</x:v>
      </x:c>
      <x:c r="C261" s="5" t="str">
        <x:v>Текст → видео</x:v>
      </x:c>
      <x:c r="D261" s="5" t="str">
        <x:v>1080p</x:v>
      </x:c>
      <x:c r="E261" s="5" t="str">
        <x:v>—</x:v>
      </x:c>
      <x:c r="F261" s="5" t="n">
        <x:v>4</x:v>
      </x:c>
      <x:c r="G261" s="5" t="str">
        <x:v>выключен</x:v>
      </x:c>
      <x:c r="H261" s="5" t="str">
        <x:v>Без исходного файла</x:v>
      </x:c>
      <x:c r="I261" s="6" t="n">
        <x:v>695.2</x:v>
      </x:c>
      <x:c r="J261" s="6" t="n">
        <x:v>695.2</x:v>
      </x:c>
      <x:c r="K261" s="5" t="str">
        <x:v>Точная цена в редакторе</x:v>
      </x:c>
      <x:c r="L261" s="5" t="str">
        <x:v>видео</x:v>
      </x:c>
      <x:c r="M261" s="7" t="n">
        <x:f>IF(J261="","",ROUND(J261*Tariffs!$D$5,2))</x:f>
        <x:v>578.17</x:v>
      </x:c>
      <x:c r="N261" s="7" t="n">
        <x:f>IF(J261="","",ROUND(J261*Tariffs!$D$6,2))</x:f>
        <x:v>578.75</x:v>
      </x:c>
      <x:c r="O261" s="7" t="n">
        <x:f>IF(J261="","",ROUND(J261*Tariffs!$D$7,2))</x:f>
        <x:v>579.22</x:v>
      </x:c>
      <x:c r="P261" s="5" t="str">
        <x:v>https://neuromia.ru/app/video/seedance</x:v>
      </x:c>
      <x:c r="Q261" s="8" t="n">
        <x:v>46282.375</x:v>
      </x:c>
      <x:c r="R261" s="5" t="str">
        <x:v>Каждая длительность 4–30 с была выбрана отдельно; ряд совпал с указанной ставкой.</x:v>
      </x:c>
    </x:row>
    <x:row r="262" ht="22" customHeight="1">
      <x:c r="A262" s="5" t="str">
        <x:v>Видео</x:v>
      </x:c>
      <x:c r="B262" s="5" t="str">
        <x:v>Seedance 2.5</x:v>
      </x:c>
      <x:c r="C262" s="5" t="str">
        <x:v>Текст → видео</x:v>
      </x:c>
      <x:c r="D262" s="5" t="str">
        <x:v>1080p</x:v>
      </x:c>
      <x:c r="E262" s="5" t="str">
        <x:v>—</x:v>
      </x:c>
      <x:c r="F262" s="5" t="n">
        <x:v>5</x:v>
      </x:c>
      <x:c r="G262" s="5" t="str">
        <x:v>выключен</x:v>
      </x:c>
      <x:c r="H262" s="5" t="str">
        <x:v>Без исходного файла</x:v>
      </x:c>
      <x:c r="I262" s="6" t="n">
        <x:v>869</x:v>
      </x:c>
      <x:c r="J262" s="6" t="n">
        <x:v>869</x:v>
      </x:c>
      <x:c r="K262" s="5" t="str">
        <x:v>Точная цена в редакторе</x:v>
      </x:c>
      <x:c r="L262" s="5" t="str">
        <x:v>видео</x:v>
      </x:c>
      <x:c r="M262" s="7" t="n">
        <x:f>IF(J262="","",ROUND(J262*Tariffs!$D$5,2))</x:f>
        <x:v>722.72</x:v>
      </x:c>
      <x:c r="N262" s="7" t="n">
        <x:f>IF(J262="","",ROUND(J262*Tariffs!$D$6,2))</x:f>
        <x:v>723.44</x:v>
      </x:c>
      <x:c r="O262" s="7" t="n">
        <x:f>IF(J262="","",ROUND(J262*Tariffs!$D$7,2))</x:f>
        <x:v>724.02</x:v>
      </x:c>
      <x:c r="P262" s="5" t="str">
        <x:v>https://neuromia.ru/app/video/seedance</x:v>
      </x:c>
      <x:c r="Q262" s="8" t="n">
        <x:v>46282.375</x:v>
      </x:c>
      <x:c r="R262" s="5" t="str">
        <x:v>Каждая длительность 4–30 с была выбрана отдельно; ряд совпал с указанной ставкой.</x:v>
      </x:c>
    </x:row>
    <x:row r="263" ht="22" customHeight="1">
      <x:c r="A263" s="5" t="str">
        <x:v>Видео</x:v>
      </x:c>
      <x:c r="B263" s="5" t="str">
        <x:v>Seedance 2.5</x:v>
      </x:c>
      <x:c r="C263" s="5" t="str">
        <x:v>Текст → видео</x:v>
      </x:c>
      <x:c r="D263" s="5" t="str">
        <x:v>1080p</x:v>
      </x:c>
      <x:c r="E263" s="5" t="str">
        <x:v>—</x:v>
      </x:c>
      <x:c r="F263" s="5" t="n">
        <x:v>6</x:v>
      </x:c>
      <x:c r="G263" s="5" t="str">
        <x:v>выключен</x:v>
      </x:c>
      <x:c r="H263" s="5" t="str">
        <x:v>Без исходного файла</x:v>
      </x:c>
      <x:c r="I263" s="6" t="n">
        <x:v>1042.8</x:v>
      </x:c>
      <x:c r="J263" s="6" t="n">
        <x:v>1042.8</x:v>
      </x:c>
      <x:c r="K263" s="5" t="str">
        <x:v>Точная цена в редакторе</x:v>
      </x:c>
      <x:c r="L263" s="5" t="str">
        <x:v>видео</x:v>
      </x:c>
      <x:c r="M263" s="7" t="n">
        <x:f>IF(J263="","",ROUND(J263*Tariffs!$D$5,2))</x:f>
        <x:v>867.26</x:v>
      </x:c>
      <x:c r="N263" s="7" t="n">
        <x:f>IF(J263="","",ROUND(J263*Tariffs!$D$6,2))</x:f>
        <x:v>868.13</x:v>
      </x:c>
      <x:c r="O263" s="7" t="n">
        <x:f>IF(J263="","",ROUND(J263*Tariffs!$D$7,2))</x:f>
        <x:v>868.83</x:v>
      </x:c>
      <x:c r="P263" s="5" t="str">
        <x:v>https://neuromia.ru/app/video/seedance</x:v>
      </x:c>
      <x:c r="Q263" s="8" t="n">
        <x:v>46282.375</x:v>
      </x:c>
      <x:c r="R263" s="5" t="str">
        <x:v>Каждая длительность 4–30 с была выбрана отдельно; ряд совпал с указанной ставкой.</x:v>
      </x:c>
    </x:row>
    <x:row r="264" ht="22" customHeight="1">
      <x:c r="A264" s="5" t="str">
        <x:v>Видео</x:v>
      </x:c>
      <x:c r="B264" s="5" t="str">
        <x:v>Seedance 2.5</x:v>
      </x:c>
      <x:c r="C264" s="5" t="str">
        <x:v>Текст → видео</x:v>
      </x:c>
      <x:c r="D264" s="5" t="str">
        <x:v>1080p</x:v>
      </x:c>
      <x:c r="E264" s="5" t="str">
        <x:v>—</x:v>
      </x:c>
      <x:c r="F264" s="5" t="n">
        <x:v>7</x:v>
      </x:c>
      <x:c r="G264" s="5" t="str">
        <x:v>выключен</x:v>
      </x:c>
      <x:c r="H264" s="5" t="str">
        <x:v>Без исходного файла</x:v>
      </x:c>
      <x:c r="I264" s="6" t="n">
        <x:v>1216.6</x:v>
      </x:c>
      <x:c r="J264" s="6" t="n">
        <x:v>1216.6</x:v>
      </x:c>
      <x:c r="K264" s="5" t="str">
        <x:v>Точная цена в редакторе</x:v>
      </x:c>
      <x:c r="L264" s="5" t="str">
        <x:v>видео</x:v>
      </x:c>
      <x:c r="M264" s="7" t="n">
        <x:f>IF(J264="","",ROUND(J264*Tariffs!$D$5,2))</x:f>
        <x:v>1011.81</x:v>
      </x:c>
      <x:c r="N264" s="7" t="n">
        <x:f>IF(J264="","",ROUND(J264*Tariffs!$D$6,2))</x:f>
        <x:v>1012.82</x:v>
      </x:c>
      <x:c r="O264" s="7" t="n">
        <x:f>IF(J264="","",ROUND(J264*Tariffs!$D$7,2))</x:f>
        <x:v>1013.63</x:v>
      </x:c>
      <x:c r="P264" s="5" t="str">
        <x:v>https://neuromia.ru/app/video/seedance</x:v>
      </x:c>
      <x:c r="Q264" s="8" t="n">
        <x:v>46282.375</x:v>
      </x:c>
      <x:c r="R264" s="5" t="str">
        <x:v>Каждая длительность 4–30 с была выбрана отдельно; ряд совпал с указанной ставкой.</x:v>
      </x:c>
    </x:row>
    <x:row r="265" ht="22" customHeight="1">
      <x:c r="A265" s="5" t="str">
        <x:v>Видео</x:v>
      </x:c>
      <x:c r="B265" s="5" t="str">
        <x:v>Seedance 2.5</x:v>
      </x:c>
      <x:c r="C265" s="5" t="str">
        <x:v>Текст → видео</x:v>
      </x:c>
      <x:c r="D265" s="5" t="str">
        <x:v>1080p</x:v>
      </x:c>
      <x:c r="E265" s="5" t="str">
        <x:v>—</x:v>
      </x:c>
      <x:c r="F265" s="5" t="n">
        <x:v>8</x:v>
      </x:c>
      <x:c r="G265" s="5" t="str">
        <x:v>выключен</x:v>
      </x:c>
      <x:c r="H265" s="5" t="str">
        <x:v>Без исходного файла</x:v>
      </x:c>
      <x:c r="I265" s="6" t="n">
        <x:v>1390.4</x:v>
      </x:c>
      <x:c r="J265" s="6" t="n">
        <x:v>1390.4</x:v>
      </x:c>
      <x:c r="K265" s="5" t="str">
        <x:v>Точная цена в редакторе</x:v>
      </x:c>
      <x:c r="L265" s="5" t="str">
        <x:v>видео</x:v>
      </x:c>
      <x:c r="M265" s="7" t="n">
        <x:f>IF(J265="","",ROUND(J265*Tariffs!$D$5,2))</x:f>
        <x:v>1156.35</x:v>
      </x:c>
      <x:c r="N265" s="7" t="n">
        <x:f>IF(J265="","",ROUND(J265*Tariffs!$D$6,2))</x:f>
        <x:v>1157.51</x:v>
      </x:c>
      <x:c r="O265" s="7" t="n">
        <x:f>IF(J265="","",ROUND(J265*Tariffs!$D$7,2))</x:f>
        <x:v>1158.43</x:v>
      </x:c>
      <x:c r="P265" s="5" t="str">
        <x:v>https://neuromia.ru/app/video/seedance</x:v>
      </x:c>
      <x:c r="Q265" s="8" t="n">
        <x:v>46282.375</x:v>
      </x:c>
      <x:c r="R265" s="5" t="str">
        <x:v>Каждая длительность 4–30 с была выбрана отдельно; ряд совпал с указанной ставкой.</x:v>
      </x:c>
    </x:row>
    <x:row r="266" ht="22" customHeight="1">
      <x:c r="A266" s="5" t="str">
        <x:v>Видео</x:v>
      </x:c>
      <x:c r="B266" s="5" t="str">
        <x:v>Seedance 2.5</x:v>
      </x:c>
      <x:c r="C266" s="5" t="str">
        <x:v>Текст → видео</x:v>
      </x:c>
      <x:c r="D266" s="5" t="str">
        <x:v>1080p</x:v>
      </x:c>
      <x:c r="E266" s="5" t="str">
        <x:v>—</x:v>
      </x:c>
      <x:c r="F266" s="5" t="n">
        <x:v>9</x:v>
      </x:c>
      <x:c r="G266" s="5" t="str">
        <x:v>выключен</x:v>
      </x:c>
      <x:c r="H266" s="5" t="str">
        <x:v>Без исходного файла</x:v>
      </x:c>
      <x:c r="I266" s="6" t="n">
        <x:v>1564.2</x:v>
      </x:c>
      <x:c r="J266" s="6" t="n">
        <x:v>1564.2</x:v>
      </x:c>
      <x:c r="K266" s="5" t="str">
        <x:v>Точная цена в редакторе</x:v>
      </x:c>
      <x:c r="L266" s="5" t="str">
        <x:v>видео</x:v>
      </x:c>
      <x:c r="M266" s="7" t="n">
        <x:f>IF(J266="","",ROUND(J266*Tariffs!$D$5,2))</x:f>
        <x:v>1300.89</x:v>
      </x:c>
      <x:c r="N266" s="7" t="n">
        <x:f>IF(J266="","",ROUND(J266*Tariffs!$D$6,2))</x:f>
        <x:v>1302.2</x:v>
      </x:c>
      <x:c r="O266" s="7" t="n">
        <x:f>IF(J266="","",ROUND(J266*Tariffs!$D$7,2))</x:f>
        <x:v>1303.24</x:v>
      </x:c>
      <x:c r="P266" s="5" t="str">
        <x:v>https://neuromia.ru/app/video/seedance</x:v>
      </x:c>
      <x:c r="Q266" s="8" t="n">
        <x:v>46282.375</x:v>
      </x:c>
      <x:c r="R266" s="5" t="str">
        <x:v>Каждая длительность 4–30 с была выбрана отдельно; ряд совпал с указанной ставкой.</x:v>
      </x:c>
    </x:row>
    <x:row r="267" ht="22" customHeight="1">
      <x:c r="A267" s="5" t="str">
        <x:v>Видео</x:v>
      </x:c>
      <x:c r="B267" s="5" t="str">
        <x:v>Seedance 2.5</x:v>
      </x:c>
      <x:c r="C267" s="5" t="str">
        <x:v>Текст → видео</x:v>
      </x:c>
      <x:c r="D267" s="5" t="str">
        <x:v>1080p</x:v>
      </x:c>
      <x:c r="E267" s="5" t="str">
        <x:v>—</x:v>
      </x:c>
      <x:c r="F267" s="5" t="n">
        <x:v>10</x:v>
      </x:c>
      <x:c r="G267" s="5" t="str">
        <x:v>выключен</x:v>
      </x:c>
      <x:c r="H267" s="5" t="str">
        <x:v>Без исходного файла</x:v>
      </x:c>
      <x:c r="I267" s="6" t="n">
        <x:v>1738</x:v>
      </x:c>
      <x:c r="J267" s="6" t="n">
        <x:v>1738</x:v>
      </x:c>
      <x:c r="K267" s="5" t="str">
        <x:v>Точная цена в редакторе</x:v>
      </x:c>
      <x:c r="L267" s="5" t="str">
        <x:v>видео</x:v>
      </x:c>
      <x:c r="M267" s="7" t="n">
        <x:f>IF(J267="","",ROUND(J267*Tariffs!$D$5,2))</x:f>
        <x:v>1445.44</x:v>
      </x:c>
      <x:c r="N267" s="7" t="n">
        <x:f>IF(J267="","",ROUND(J267*Tariffs!$D$6,2))</x:f>
        <x:v>1446.89</x:v>
      </x:c>
      <x:c r="O267" s="7" t="n">
        <x:f>IF(J267="","",ROUND(J267*Tariffs!$D$7,2))</x:f>
        <x:v>1448.04</x:v>
      </x:c>
      <x:c r="P267" s="5" t="str">
        <x:v>https://neuromia.ru/app/video/seedance</x:v>
      </x:c>
      <x:c r="Q267" s="8" t="n">
        <x:v>46282.375</x:v>
      </x:c>
      <x:c r="R267" s="5" t="str">
        <x:v>Каждая длительность 4–30 с была выбрана отдельно; ряд совпал с указанной ставкой.</x:v>
      </x:c>
    </x:row>
    <x:row r="268" ht="22" customHeight="1">
      <x:c r="A268" s="5" t="str">
        <x:v>Видео</x:v>
      </x:c>
      <x:c r="B268" s="5" t="str">
        <x:v>Seedance 2.5</x:v>
      </x:c>
      <x:c r="C268" s="5" t="str">
        <x:v>Текст → видео</x:v>
      </x:c>
      <x:c r="D268" s="5" t="str">
        <x:v>1080p</x:v>
      </x:c>
      <x:c r="E268" s="5" t="str">
        <x:v>—</x:v>
      </x:c>
      <x:c r="F268" s="5" t="n">
        <x:v>11</x:v>
      </x:c>
      <x:c r="G268" s="5" t="str">
        <x:v>выключен</x:v>
      </x:c>
      <x:c r="H268" s="5" t="str">
        <x:v>Без исходного файла</x:v>
      </x:c>
      <x:c r="I268" s="6" t="n">
        <x:v>1911.8</x:v>
      </x:c>
      <x:c r="J268" s="6" t="n">
        <x:v>1911.8</x:v>
      </x:c>
      <x:c r="K268" s="5" t="str">
        <x:v>Точная цена в редакторе</x:v>
      </x:c>
      <x:c r="L268" s="5" t="str">
        <x:v>видео</x:v>
      </x:c>
      <x:c r="M268" s="7" t="n">
        <x:f>IF(J268="","",ROUND(J268*Tariffs!$D$5,2))</x:f>
        <x:v>1589.98</x:v>
      </x:c>
      <x:c r="N268" s="7" t="n">
        <x:f>IF(J268="","",ROUND(J268*Tariffs!$D$6,2))</x:f>
        <x:v>1591.57</x:v>
      </x:c>
      <x:c r="O268" s="7" t="n">
        <x:f>IF(J268="","",ROUND(J268*Tariffs!$D$7,2))</x:f>
        <x:v>1592.85</x:v>
      </x:c>
      <x:c r="P268" s="5" t="str">
        <x:v>https://neuromia.ru/app/video/seedance</x:v>
      </x:c>
      <x:c r="Q268" s="8" t="n">
        <x:v>46282.375</x:v>
      </x:c>
      <x:c r="R268" s="5" t="str">
        <x:v>Каждая длительность 4–30 с была выбрана отдельно; ряд совпал с указанной ставкой.</x:v>
      </x:c>
    </x:row>
    <x:row r="269" ht="22" customHeight="1">
      <x:c r="A269" s="5" t="str">
        <x:v>Видео</x:v>
      </x:c>
      <x:c r="B269" s="5" t="str">
        <x:v>Seedance 2.5</x:v>
      </x:c>
      <x:c r="C269" s="5" t="str">
        <x:v>Текст → видео</x:v>
      </x:c>
      <x:c r="D269" s="5" t="str">
        <x:v>1080p</x:v>
      </x:c>
      <x:c r="E269" s="5" t="str">
        <x:v>—</x:v>
      </x:c>
      <x:c r="F269" s="5" t="n">
        <x:v>12</x:v>
      </x:c>
      <x:c r="G269" s="5" t="str">
        <x:v>выключен</x:v>
      </x:c>
      <x:c r="H269" s="5" t="str">
        <x:v>Без исходного файла</x:v>
      </x:c>
      <x:c r="I269" s="6" t="n">
        <x:v>2085.6</x:v>
      </x:c>
      <x:c r="J269" s="6" t="n">
        <x:v>2085.6</x:v>
      </x:c>
      <x:c r="K269" s="5" t="str">
        <x:v>Точная цена в редакторе</x:v>
      </x:c>
      <x:c r="L269" s="5" t="str">
        <x:v>видео</x:v>
      </x:c>
      <x:c r="M269" s="7" t="n">
        <x:f>IF(J269="","",ROUND(J269*Tariffs!$D$5,2))</x:f>
        <x:v>1734.52</x:v>
      </x:c>
      <x:c r="N269" s="7" t="n">
        <x:f>IF(J269="","",ROUND(J269*Tariffs!$D$6,2))</x:f>
        <x:v>1736.26</x:v>
      </x:c>
      <x:c r="O269" s="7" t="n">
        <x:f>IF(J269="","",ROUND(J269*Tariffs!$D$7,2))</x:f>
        <x:v>1737.65</x:v>
      </x:c>
      <x:c r="P269" s="5" t="str">
        <x:v>https://neuromia.ru/app/video/seedance</x:v>
      </x:c>
      <x:c r="Q269" s="8" t="n">
        <x:v>46282.375</x:v>
      </x:c>
      <x:c r="R269" s="5" t="str">
        <x:v>Каждая длительность 4–30 с была выбрана отдельно; ряд совпал с указанной ставкой.</x:v>
      </x:c>
    </x:row>
    <x:row r="270" ht="22" customHeight="1">
      <x:c r="A270" s="5" t="str">
        <x:v>Видео</x:v>
      </x:c>
      <x:c r="B270" s="5" t="str">
        <x:v>Seedance 2.5</x:v>
      </x:c>
      <x:c r="C270" s="5" t="str">
        <x:v>Текст → видео</x:v>
      </x:c>
      <x:c r="D270" s="5" t="str">
        <x:v>1080p</x:v>
      </x:c>
      <x:c r="E270" s="5" t="str">
        <x:v>—</x:v>
      </x:c>
      <x:c r="F270" s="5" t="n">
        <x:v>13</x:v>
      </x:c>
      <x:c r="G270" s="5" t="str">
        <x:v>выключен</x:v>
      </x:c>
      <x:c r="H270" s="5" t="str">
        <x:v>Без исходного файла</x:v>
      </x:c>
      <x:c r="I270" s="6" t="n">
        <x:v>2259.4</x:v>
      </x:c>
      <x:c r="J270" s="6" t="n">
        <x:v>2259.4</x:v>
      </x:c>
      <x:c r="K270" s="5" t="str">
        <x:v>Точная цена в редакторе</x:v>
      </x:c>
      <x:c r="L270" s="5" t="str">
        <x:v>видео</x:v>
      </x:c>
      <x:c r="M270" s="7" t="n">
        <x:f>IF(J270="","",ROUND(J270*Tariffs!$D$5,2))</x:f>
        <x:v>1879.07</x:v>
      </x:c>
      <x:c r="N270" s="7" t="n">
        <x:f>IF(J270="","",ROUND(J270*Tariffs!$D$6,2))</x:f>
        <x:v>1880.95</x:v>
      </x:c>
      <x:c r="O270" s="7" t="n">
        <x:f>IF(J270="","",ROUND(J270*Tariffs!$D$7,2))</x:f>
        <x:v>1882.46</x:v>
      </x:c>
      <x:c r="P270" s="5" t="str">
        <x:v>https://neuromia.ru/app/video/seedance</x:v>
      </x:c>
      <x:c r="Q270" s="8" t="n">
        <x:v>46282.375</x:v>
      </x:c>
      <x:c r="R270" s="5" t="str">
        <x:v>Каждая длительность 4–30 с была выбрана отдельно; ряд совпал с указанной ставкой.</x:v>
      </x:c>
    </x:row>
    <x:row r="271" ht="22" customHeight="1">
      <x:c r="A271" s="5" t="str">
        <x:v>Видео</x:v>
      </x:c>
      <x:c r="B271" s="5" t="str">
        <x:v>Seedance 2.5</x:v>
      </x:c>
      <x:c r="C271" s="5" t="str">
        <x:v>Текст → видео</x:v>
      </x:c>
      <x:c r="D271" s="5" t="str">
        <x:v>1080p</x:v>
      </x:c>
      <x:c r="E271" s="5" t="str">
        <x:v>—</x:v>
      </x:c>
      <x:c r="F271" s="5" t="n">
        <x:v>14</x:v>
      </x:c>
      <x:c r="G271" s="5" t="str">
        <x:v>выключен</x:v>
      </x:c>
      <x:c r="H271" s="5" t="str">
        <x:v>Без исходного файла</x:v>
      </x:c>
      <x:c r="I271" s="6" t="n">
        <x:v>2433.2</x:v>
      </x:c>
      <x:c r="J271" s="6" t="n">
        <x:v>2433.2</x:v>
      </x:c>
      <x:c r="K271" s="5" t="str">
        <x:v>Точная цена в редакторе</x:v>
      </x:c>
      <x:c r="L271" s="5" t="str">
        <x:v>видео</x:v>
      </x:c>
      <x:c r="M271" s="7" t="n">
        <x:f>IF(J271="","",ROUND(J271*Tariffs!$D$5,2))</x:f>
        <x:v>2023.61</x:v>
      </x:c>
      <x:c r="N271" s="7" t="n">
        <x:f>IF(J271="","",ROUND(J271*Tariffs!$D$6,2))</x:f>
        <x:v>2025.64</x:v>
      </x:c>
      <x:c r="O271" s="7" t="n">
        <x:f>IF(J271="","",ROUND(J271*Tariffs!$D$7,2))</x:f>
        <x:v>2027.26</x:v>
      </x:c>
      <x:c r="P271" s="5" t="str">
        <x:v>https://neuromia.ru/app/video/seedance</x:v>
      </x:c>
      <x:c r="Q271" s="8" t="n">
        <x:v>46282.375</x:v>
      </x:c>
      <x:c r="R271" s="5" t="str">
        <x:v>Каждая длительность 4–30 с была выбрана отдельно; ряд совпал с указанной ставкой.</x:v>
      </x:c>
    </x:row>
    <x:row r="272" ht="22" customHeight="1">
      <x:c r="A272" s="5" t="str">
        <x:v>Видео</x:v>
      </x:c>
      <x:c r="B272" s="5" t="str">
        <x:v>Seedance 2.5</x:v>
      </x:c>
      <x:c r="C272" s="5" t="str">
        <x:v>Текст → видео</x:v>
      </x:c>
      <x:c r="D272" s="5" t="str">
        <x:v>1080p</x:v>
      </x:c>
      <x:c r="E272" s="5" t="str">
        <x:v>—</x:v>
      </x:c>
      <x:c r="F272" s="5" t="n">
        <x:v>15</x:v>
      </x:c>
      <x:c r="G272" s="5" t="str">
        <x:v>выключен</x:v>
      </x:c>
      <x:c r="H272" s="5" t="str">
        <x:v>Без исходного файла</x:v>
      </x:c>
      <x:c r="I272" s="6" t="n">
        <x:v>2607</x:v>
      </x:c>
      <x:c r="J272" s="6" t="n">
        <x:v>2607</x:v>
      </x:c>
      <x:c r="K272" s="5" t="str">
        <x:v>Точная цена в редакторе</x:v>
      </x:c>
      <x:c r="L272" s="5" t="str">
        <x:v>видео</x:v>
      </x:c>
      <x:c r="M272" s="7" t="n">
        <x:f>IF(J272="","",ROUND(J272*Tariffs!$D$5,2))</x:f>
        <x:v>2168.16</x:v>
      </x:c>
      <x:c r="N272" s="7" t="n">
        <x:f>IF(J272="","",ROUND(J272*Tariffs!$D$6,2))</x:f>
        <x:v>2170.33</x:v>
      </x:c>
      <x:c r="O272" s="7" t="n">
        <x:f>IF(J272="","",ROUND(J272*Tariffs!$D$7,2))</x:f>
        <x:v>2172.07</x:v>
      </x:c>
      <x:c r="P272" s="5" t="str">
        <x:v>https://neuromia.ru/app/video/seedance</x:v>
      </x:c>
      <x:c r="Q272" s="8" t="n">
        <x:v>46282.375</x:v>
      </x:c>
      <x:c r="R272" s="5" t="str">
        <x:v>Каждая длительность 4–30 с была выбрана отдельно; ряд совпал с указанной ставкой.</x:v>
      </x:c>
    </x:row>
    <x:row r="273" ht="22" customHeight="1">
      <x:c r="A273" s="5" t="str">
        <x:v>Видео</x:v>
      </x:c>
      <x:c r="B273" s="5" t="str">
        <x:v>Seedance 2.5</x:v>
      </x:c>
      <x:c r="C273" s="5" t="str">
        <x:v>Текст → видео</x:v>
      </x:c>
      <x:c r="D273" s="5" t="str">
        <x:v>1080p</x:v>
      </x:c>
      <x:c r="E273" s="5" t="str">
        <x:v>—</x:v>
      </x:c>
      <x:c r="F273" s="5" t="n">
        <x:v>16</x:v>
      </x:c>
      <x:c r="G273" s="5" t="str">
        <x:v>выключен</x:v>
      </x:c>
      <x:c r="H273" s="5" t="str">
        <x:v>Без исходного файла</x:v>
      </x:c>
      <x:c r="I273" s="6" t="n">
        <x:v>2780.8</x:v>
      </x:c>
      <x:c r="J273" s="6" t="n">
        <x:v>2780.8</x:v>
      </x:c>
      <x:c r="K273" s="5" t="str">
        <x:v>Точная цена в редакторе</x:v>
      </x:c>
      <x:c r="L273" s="5" t="str">
        <x:v>видео</x:v>
      </x:c>
      <x:c r="M273" s="7" t="n">
        <x:f>IF(J273="","",ROUND(J273*Tariffs!$D$5,2))</x:f>
        <x:v>2312.7</x:v>
      </x:c>
      <x:c r="N273" s="7" t="n">
        <x:f>IF(J273="","",ROUND(J273*Tariffs!$D$6,2))</x:f>
        <x:v>2315.02</x:v>
      </x:c>
      <x:c r="O273" s="7" t="n">
        <x:f>IF(J273="","",ROUND(J273*Tariffs!$D$7,2))</x:f>
        <x:v>2316.87</x:v>
      </x:c>
      <x:c r="P273" s="5" t="str">
        <x:v>https://neuromia.ru/app/video/seedance</x:v>
      </x:c>
      <x:c r="Q273" s="8" t="n">
        <x:v>46282.375</x:v>
      </x:c>
      <x:c r="R273" s="5" t="str">
        <x:v>Каждая длительность 4–30 с была выбрана отдельно; ряд совпал с указанной ставкой.</x:v>
      </x:c>
    </x:row>
    <x:row r="274" ht="22" customHeight="1">
      <x:c r="A274" s="5" t="str">
        <x:v>Видео</x:v>
      </x:c>
      <x:c r="B274" s="5" t="str">
        <x:v>Seedance 2.5</x:v>
      </x:c>
      <x:c r="C274" s="5" t="str">
        <x:v>Текст → видео</x:v>
      </x:c>
      <x:c r="D274" s="5" t="str">
        <x:v>1080p</x:v>
      </x:c>
      <x:c r="E274" s="5" t="str">
        <x:v>—</x:v>
      </x:c>
      <x:c r="F274" s="5" t="n">
        <x:v>17</x:v>
      </x:c>
      <x:c r="G274" s="5" t="str">
        <x:v>выключен</x:v>
      </x:c>
      <x:c r="H274" s="5" t="str">
        <x:v>Без исходного файла</x:v>
      </x:c>
      <x:c r="I274" s="6" t="n">
        <x:v>2954.6</x:v>
      </x:c>
      <x:c r="J274" s="6" t="n">
        <x:v>2954.6</x:v>
      </x:c>
      <x:c r="K274" s="5" t="str">
        <x:v>Точная цена в редакторе</x:v>
      </x:c>
      <x:c r="L274" s="5" t="str">
        <x:v>видео</x:v>
      </x:c>
      <x:c r="M274" s="7" t="n">
        <x:f>IF(J274="","",ROUND(J274*Tariffs!$D$5,2))</x:f>
        <x:v>2457.24</x:v>
      </x:c>
      <x:c r="N274" s="7" t="n">
        <x:f>IF(J274="","",ROUND(J274*Tariffs!$D$6,2))</x:f>
        <x:v>2459.7</x:v>
      </x:c>
      <x:c r="O274" s="7" t="n">
        <x:f>IF(J274="","",ROUND(J274*Tariffs!$D$7,2))</x:f>
        <x:v>2461.67</x:v>
      </x:c>
      <x:c r="P274" s="5" t="str">
        <x:v>https://neuromia.ru/app/video/seedance</x:v>
      </x:c>
      <x:c r="Q274" s="8" t="n">
        <x:v>46282.375</x:v>
      </x:c>
      <x:c r="R274" s="5" t="str">
        <x:v>Каждая длительность 4–30 с была выбрана отдельно; ряд совпал с указанной ставкой.</x:v>
      </x:c>
    </x:row>
    <x:row r="275" ht="22" customHeight="1">
      <x:c r="A275" s="5" t="str">
        <x:v>Видео</x:v>
      </x:c>
      <x:c r="B275" s="5" t="str">
        <x:v>Seedance 2.5</x:v>
      </x:c>
      <x:c r="C275" s="5" t="str">
        <x:v>Текст → видео</x:v>
      </x:c>
      <x:c r="D275" s="5" t="str">
        <x:v>1080p</x:v>
      </x:c>
      <x:c r="E275" s="5" t="str">
        <x:v>—</x:v>
      </x:c>
      <x:c r="F275" s="5" t="n">
        <x:v>18</x:v>
      </x:c>
      <x:c r="G275" s="5" t="str">
        <x:v>выключен</x:v>
      </x:c>
      <x:c r="H275" s="5" t="str">
        <x:v>Без исходного файла</x:v>
      </x:c>
      <x:c r="I275" s="6" t="n">
        <x:v>3128.4</x:v>
      </x:c>
      <x:c r="J275" s="6" t="n">
        <x:v>3128.4</x:v>
      </x:c>
      <x:c r="K275" s="5" t="str">
        <x:v>Точная цена в редакторе</x:v>
      </x:c>
      <x:c r="L275" s="5" t="str">
        <x:v>видео</x:v>
      </x:c>
      <x:c r="M275" s="7" t="n">
        <x:f>IF(J275="","",ROUND(J275*Tariffs!$D$5,2))</x:f>
        <x:v>2601.79</x:v>
      </x:c>
      <x:c r="N275" s="7" t="n">
        <x:f>IF(J275="","",ROUND(J275*Tariffs!$D$6,2))</x:f>
        <x:v>2604.39</x:v>
      </x:c>
      <x:c r="O275" s="7" t="n">
        <x:f>IF(J275="","",ROUND(J275*Tariffs!$D$7,2))</x:f>
        <x:v>2606.48</x:v>
      </x:c>
      <x:c r="P275" s="5" t="str">
        <x:v>https://neuromia.ru/app/video/seedance</x:v>
      </x:c>
      <x:c r="Q275" s="8" t="n">
        <x:v>46282.375</x:v>
      </x:c>
      <x:c r="R275" s="5" t="str">
        <x:v>Каждая длительность 4–30 с была выбрана отдельно; ряд совпал с указанной ставкой.</x:v>
      </x:c>
    </x:row>
    <x:row r="276" ht="22" customHeight="1">
      <x:c r="A276" s="5" t="str">
        <x:v>Видео</x:v>
      </x:c>
      <x:c r="B276" s="5" t="str">
        <x:v>Seedance 2.5</x:v>
      </x:c>
      <x:c r="C276" s="5" t="str">
        <x:v>Текст → видео</x:v>
      </x:c>
      <x:c r="D276" s="5" t="str">
        <x:v>1080p</x:v>
      </x:c>
      <x:c r="E276" s="5" t="str">
        <x:v>—</x:v>
      </x:c>
      <x:c r="F276" s="5" t="n">
        <x:v>19</x:v>
      </x:c>
      <x:c r="G276" s="5" t="str">
        <x:v>выключен</x:v>
      </x:c>
      <x:c r="H276" s="5" t="str">
        <x:v>Без исходного файла</x:v>
      </x:c>
      <x:c r="I276" s="6" t="n">
        <x:v>3302.2</x:v>
      </x:c>
      <x:c r="J276" s="6" t="n">
        <x:v>3302.2</x:v>
      </x:c>
      <x:c r="K276" s="5" t="str">
        <x:v>Точная цена в редакторе</x:v>
      </x:c>
      <x:c r="L276" s="5" t="str">
        <x:v>видео</x:v>
      </x:c>
      <x:c r="M276" s="7" t="n">
        <x:f>IF(J276="","",ROUND(J276*Tariffs!$D$5,2))</x:f>
        <x:v>2746.33</x:v>
      </x:c>
      <x:c r="N276" s="7" t="n">
        <x:f>IF(J276="","",ROUND(J276*Tariffs!$D$6,2))</x:f>
        <x:v>2749.08</x:v>
      </x:c>
      <x:c r="O276" s="7" t="n">
        <x:f>IF(J276="","",ROUND(J276*Tariffs!$D$7,2))</x:f>
        <x:v>2751.28</x:v>
      </x:c>
      <x:c r="P276" s="5" t="str">
        <x:v>https://neuromia.ru/app/video/seedance</x:v>
      </x:c>
      <x:c r="Q276" s="8" t="n">
        <x:v>46282.375</x:v>
      </x:c>
      <x:c r="R276" s="5" t="str">
        <x:v>Каждая длительность 4–30 с была выбрана отдельно; ряд совпал с указанной ставкой.</x:v>
      </x:c>
    </x:row>
    <x:row r="277" ht="22" customHeight="1">
      <x:c r="A277" s="5" t="str">
        <x:v>Видео</x:v>
      </x:c>
      <x:c r="B277" s="5" t="str">
        <x:v>Seedance 2.5</x:v>
      </x:c>
      <x:c r="C277" s="5" t="str">
        <x:v>Текст → видео</x:v>
      </x:c>
      <x:c r="D277" s="5" t="str">
        <x:v>1080p</x:v>
      </x:c>
      <x:c r="E277" s="5" t="str">
        <x:v>—</x:v>
      </x:c>
      <x:c r="F277" s="5" t="n">
        <x:v>20</x:v>
      </x:c>
      <x:c r="G277" s="5" t="str">
        <x:v>выключен</x:v>
      </x:c>
      <x:c r="H277" s="5" t="str">
        <x:v>Без исходного файла</x:v>
      </x:c>
      <x:c r="I277" s="6" t="n">
        <x:v>3476</x:v>
      </x:c>
      <x:c r="J277" s="6" t="n">
        <x:v>3476</x:v>
      </x:c>
      <x:c r="K277" s="5" t="str">
        <x:v>Точная цена в редакторе</x:v>
      </x:c>
      <x:c r="L277" s="5" t="str">
        <x:v>видео</x:v>
      </x:c>
      <x:c r="M277" s="7" t="n">
        <x:f>IF(J277="","",ROUND(J277*Tariffs!$D$5,2))</x:f>
        <x:v>2890.87</x:v>
      </x:c>
      <x:c r="N277" s="7" t="n">
        <x:f>IF(J277="","",ROUND(J277*Tariffs!$D$6,2))</x:f>
        <x:v>2893.77</x:v>
      </x:c>
      <x:c r="O277" s="7" t="n">
        <x:f>IF(J277="","",ROUND(J277*Tariffs!$D$7,2))</x:f>
        <x:v>2896.09</x:v>
      </x:c>
      <x:c r="P277" s="5" t="str">
        <x:v>https://neuromia.ru/app/video/seedance</x:v>
      </x:c>
      <x:c r="Q277" s="8" t="n">
        <x:v>46282.375</x:v>
      </x:c>
      <x:c r="R277" s="5" t="str">
        <x:v>Каждая длительность 4–30 с была выбрана отдельно; ряд совпал с указанной ставкой.</x:v>
      </x:c>
    </x:row>
    <x:row r="278" ht="22" customHeight="1">
      <x:c r="A278" s="5" t="str">
        <x:v>Видео</x:v>
      </x:c>
      <x:c r="B278" s="5" t="str">
        <x:v>Seedance 2.5</x:v>
      </x:c>
      <x:c r="C278" s="5" t="str">
        <x:v>Текст → видео</x:v>
      </x:c>
      <x:c r="D278" s="5" t="str">
        <x:v>1080p</x:v>
      </x:c>
      <x:c r="E278" s="5" t="str">
        <x:v>—</x:v>
      </x:c>
      <x:c r="F278" s="5" t="n">
        <x:v>21</x:v>
      </x:c>
      <x:c r="G278" s="5" t="str">
        <x:v>выключен</x:v>
      </x:c>
      <x:c r="H278" s="5" t="str">
        <x:v>Без исходного файла</x:v>
      </x:c>
      <x:c r="I278" s="6" t="n">
        <x:v>3649.8</x:v>
      </x:c>
      <x:c r="J278" s="6" t="n">
        <x:v>3649.8</x:v>
      </x:c>
      <x:c r="K278" s="5" t="str">
        <x:v>Точная цена в редакторе</x:v>
      </x:c>
      <x:c r="L278" s="5" t="str">
        <x:v>видео</x:v>
      </x:c>
      <x:c r="M278" s="7" t="n">
        <x:f>IF(J278="","",ROUND(J278*Tariffs!$D$5,2))</x:f>
        <x:v>3035.42</x:v>
      </x:c>
      <x:c r="N278" s="7" t="n">
        <x:f>IF(J278="","",ROUND(J278*Tariffs!$D$6,2))</x:f>
        <x:v>3038.46</x:v>
      </x:c>
      <x:c r="O278" s="7" t="n">
        <x:f>IF(J278="","",ROUND(J278*Tariffs!$D$7,2))</x:f>
        <x:v>3040.89</x:v>
      </x:c>
      <x:c r="P278" s="5" t="str">
        <x:v>https://neuromia.ru/app/video/seedance</x:v>
      </x:c>
      <x:c r="Q278" s="8" t="n">
        <x:v>46282.375</x:v>
      </x:c>
      <x:c r="R278" s="5" t="str">
        <x:v>Каждая длительность 4–30 с была выбрана отдельно; ряд совпал с указанной ставкой.</x:v>
      </x:c>
    </x:row>
    <x:row r="279" ht="22" customHeight="1">
      <x:c r="A279" s="5" t="str">
        <x:v>Видео</x:v>
      </x:c>
      <x:c r="B279" s="5" t="str">
        <x:v>Seedance 2.5</x:v>
      </x:c>
      <x:c r="C279" s="5" t="str">
        <x:v>Текст → видео</x:v>
      </x:c>
      <x:c r="D279" s="5" t="str">
        <x:v>1080p</x:v>
      </x:c>
      <x:c r="E279" s="5" t="str">
        <x:v>—</x:v>
      </x:c>
      <x:c r="F279" s="5" t="n">
        <x:v>22</x:v>
      </x:c>
      <x:c r="G279" s="5" t="str">
        <x:v>выключен</x:v>
      </x:c>
      <x:c r="H279" s="5" t="str">
        <x:v>Без исходного файла</x:v>
      </x:c>
      <x:c r="I279" s="6" t="n">
        <x:v>3823.6</x:v>
      </x:c>
      <x:c r="J279" s="6" t="n">
        <x:v>3823.6</x:v>
      </x:c>
      <x:c r="K279" s="5" t="str">
        <x:v>Точная цена в редакторе</x:v>
      </x:c>
      <x:c r="L279" s="5" t="str">
        <x:v>видео</x:v>
      </x:c>
      <x:c r="M279" s="7" t="n">
        <x:f>IF(J279="","",ROUND(J279*Tariffs!$D$5,2))</x:f>
        <x:v>3179.96</x:v>
      </x:c>
      <x:c r="N279" s="7" t="n">
        <x:f>IF(J279="","",ROUND(J279*Tariffs!$D$6,2))</x:f>
        <x:v>3183.15</x:v>
      </x:c>
      <x:c r="O279" s="7" t="n">
        <x:f>IF(J279="","",ROUND(J279*Tariffs!$D$7,2))</x:f>
        <x:v>3185.7</x:v>
      </x:c>
      <x:c r="P279" s="5" t="str">
        <x:v>https://neuromia.ru/app/video/seedance</x:v>
      </x:c>
      <x:c r="Q279" s="8" t="n">
        <x:v>46282.375</x:v>
      </x:c>
      <x:c r="R279" s="5" t="str">
        <x:v>Каждая длительность 4–30 с была выбрана отдельно; ряд совпал с указанной ставкой.</x:v>
      </x:c>
    </x:row>
    <x:row r="280" ht="22" customHeight="1">
      <x:c r="A280" s="5" t="str">
        <x:v>Видео</x:v>
      </x:c>
      <x:c r="B280" s="5" t="str">
        <x:v>Seedance 2.5</x:v>
      </x:c>
      <x:c r="C280" s="5" t="str">
        <x:v>Текст → видео</x:v>
      </x:c>
      <x:c r="D280" s="5" t="str">
        <x:v>1080p</x:v>
      </x:c>
      <x:c r="E280" s="5" t="str">
        <x:v>—</x:v>
      </x:c>
      <x:c r="F280" s="5" t="n">
        <x:v>23</x:v>
      </x:c>
      <x:c r="G280" s="5" t="str">
        <x:v>выключен</x:v>
      </x:c>
      <x:c r="H280" s="5" t="str">
        <x:v>Без исходного файла</x:v>
      </x:c>
      <x:c r="I280" s="6" t="n">
        <x:v>3997.4</x:v>
      </x:c>
      <x:c r="J280" s="6" t="n">
        <x:v>3997.4</x:v>
      </x:c>
      <x:c r="K280" s="5" t="str">
        <x:v>Точная цена в редакторе</x:v>
      </x:c>
      <x:c r="L280" s="5" t="str">
        <x:v>видео</x:v>
      </x:c>
      <x:c r="M280" s="7" t="n">
        <x:f>IF(J280="","",ROUND(J280*Tariffs!$D$5,2))</x:f>
        <x:v>3324.5</x:v>
      </x:c>
      <x:c r="N280" s="7" t="n">
        <x:f>IF(J280="","",ROUND(J280*Tariffs!$D$6,2))</x:f>
        <x:v>3327.84</x:v>
      </x:c>
      <x:c r="O280" s="7" t="n">
        <x:f>IF(J280="","",ROUND(J280*Tariffs!$D$7,2))</x:f>
        <x:v>3330.5</x:v>
      </x:c>
      <x:c r="P280" s="5" t="str">
        <x:v>https://neuromia.ru/app/video/seedance</x:v>
      </x:c>
      <x:c r="Q280" s="8" t="n">
        <x:v>46282.375</x:v>
      </x:c>
      <x:c r="R280" s="5" t="str">
        <x:v>Каждая длительность 4–30 с была выбрана отдельно; ряд совпал с указанной ставкой.</x:v>
      </x:c>
    </x:row>
    <x:row r="281" ht="22" customHeight="1">
      <x:c r="A281" s="5" t="str">
        <x:v>Видео</x:v>
      </x:c>
      <x:c r="B281" s="5" t="str">
        <x:v>Seedance 2.5</x:v>
      </x:c>
      <x:c r="C281" s="5" t="str">
        <x:v>Текст → видео</x:v>
      </x:c>
      <x:c r="D281" s="5" t="str">
        <x:v>1080p</x:v>
      </x:c>
      <x:c r="E281" s="5" t="str">
        <x:v>—</x:v>
      </x:c>
      <x:c r="F281" s="5" t="n">
        <x:v>24</x:v>
      </x:c>
      <x:c r="G281" s="5" t="str">
        <x:v>выключен</x:v>
      </x:c>
      <x:c r="H281" s="5" t="str">
        <x:v>Без исходного файла</x:v>
      </x:c>
      <x:c r="I281" s="6" t="n">
        <x:v>4171.2</x:v>
      </x:c>
      <x:c r="J281" s="6" t="n">
        <x:v>4171.2</x:v>
      </x:c>
      <x:c r="K281" s="5" t="str">
        <x:v>Точная цена в редакторе</x:v>
      </x:c>
      <x:c r="L281" s="5" t="str">
        <x:v>видео</x:v>
      </x:c>
      <x:c r="M281" s="7" t="n">
        <x:f>IF(J281="","",ROUND(J281*Tariffs!$D$5,2))</x:f>
        <x:v>3469.05</x:v>
      </x:c>
      <x:c r="N281" s="7" t="n">
        <x:f>IF(J281="","",ROUND(J281*Tariffs!$D$6,2))</x:f>
        <x:v>3472.52</x:v>
      </x:c>
      <x:c r="O281" s="7" t="n">
        <x:f>IF(J281="","",ROUND(J281*Tariffs!$D$7,2))</x:f>
        <x:v>3475.3</x:v>
      </x:c>
      <x:c r="P281" s="5" t="str">
        <x:v>https://neuromia.ru/app/video/seedance</x:v>
      </x:c>
      <x:c r="Q281" s="8" t="n">
        <x:v>46282.375</x:v>
      </x:c>
      <x:c r="R281" s="5" t="str">
        <x:v>Каждая длительность 4–30 с была выбрана отдельно; ряд совпал с указанной ставкой.</x:v>
      </x:c>
    </x:row>
    <x:row r="282" ht="22" customHeight="1">
      <x:c r="A282" s="5" t="str">
        <x:v>Видео</x:v>
      </x:c>
      <x:c r="B282" s="5" t="str">
        <x:v>Seedance 2.5</x:v>
      </x:c>
      <x:c r="C282" s="5" t="str">
        <x:v>Текст → видео</x:v>
      </x:c>
      <x:c r="D282" s="5" t="str">
        <x:v>1080p</x:v>
      </x:c>
      <x:c r="E282" s="5" t="str">
        <x:v>—</x:v>
      </x:c>
      <x:c r="F282" s="5" t="n">
        <x:v>25</x:v>
      </x:c>
      <x:c r="G282" s="5" t="str">
        <x:v>выключен</x:v>
      </x:c>
      <x:c r="H282" s="5" t="str">
        <x:v>Без исходного файла</x:v>
      </x:c>
      <x:c r="I282" s="6" t="n">
        <x:v>4345</x:v>
      </x:c>
      <x:c r="J282" s="6" t="n">
        <x:v>4345</x:v>
      </x:c>
      <x:c r="K282" s="5" t="str">
        <x:v>Точная цена в редакторе</x:v>
      </x:c>
      <x:c r="L282" s="5" t="str">
        <x:v>видео</x:v>
      </x:c>
      <x:c r="M282" s="7" t="n">
        <x:f>IF(J282="","",ROUND(J282*Tariffs!$D$5,2))</x:f>
        <x:v>3613.59</x:v>
      </x:c>
      <x:c r="N282" s="7" t="n">
        <x:f>IF(J282="","",ROUND(J282*Tariffs!$D$6,2))</x:f>
        <x:v>3617.21</x:v>
      </x:c>
      <x:c r="O282" s="7" t="n">
        <x:f>IF(J282="","",ROUND(J282*Tariffs!$D$7,2))</x:f>
        <x:v>3620.11</x:v>
      </x:c>
      <x:c r="P282" s="5" t="str">
        <x:v>https://neuromia.ru/app/video/seedance</x:v>
      </x:c>
      <x:c r="Q282" s="8" t="n">
        <x:v>46282.375</x:v>
      </x:c>
      <x:c r="R282" s="5" t="str">
        <x:v>Каждая длительность 4–30 с была выбрана отдельно; ряд совпал с указанной ставкой.</x:v>
      </x:c>
    </x:row>
    <x:row r="283" ht="22" customHeight="1">
      <x:c r="A283" s="5" t="str">
        <x:v>Видео</x:v>
      </x:c>
      <x:c r="B283" s="5" t="str">
        <x:v>Seedance 2.5</x:v>
      </x:c>
      <x:c r="C283" s="5" t="str">
        <x:v>Текст → видео</x:v>
      </x:c>
      <x:c r="D283" s="5" t="str">
        <x:v>1080p</x:v>
      </x:c>
      <x:c r="E283" s="5" t="str">
        <x:v>—</x:v>
      </x:c>
      <x:c r="F283" s="5" t="n">
        <x:v>26</x:v>
      </x:c>
      <x:c r="G283" s="5" t="str">
        <x:v>выключен</x:v>
      </x:c>
      <x:c r="H283" s="5" t="str">
        <x:v>Без исходного файла</x:v>
      </x:c>
      <x:c r="I283" s="6" t="n">
        <x:v>4518.8</x:v>
      </x:c>
      <x:c r="J283" s="6" t="n">
        <x:v>4518.8</x:v>
      </x:c>
      <x:c r="K283" s="5" t="str">
        <x:v>Точная цена в редакторе</x:v>
      </x:c>
      <x:c r="L283" s="5" t="str">
        <x:v>видео</x:v>
      </x:c>
      <x:c r="M283" s="7" t="n">
        <x:f>IF(J283="","",ROUND(J283*Tariffs!$D$5,2))</x:f>
        <x:v>3758.14</x:v>
      </x:c>
      <x:c r="N283" s="7" t="n">
        <x:f>IF(J283="","",ROUND(J283*Tariffs!$D$6,2))</x:f>
        <x:v>3761.9</x:v>
      </x:c>
      <x:c r="O283" s="7" t="n">
        <x:f>IF(J283="","",ROUND(J283*Tariffs!$D$7,2))</x:f>
        <x:v>3764.91</x:v>
      </x:c>
      <x:c r="P283" s="5" t="str">
        <x:v>https://neuromia.ru/app/video/seedance</x:v>
      </x:c>
      <x:c r="Q283" s="8" t="n">
        <x:v>46282.375</x:v>
      </x:c>
      <x:c r="R283" s="5" t="str">
        <x:v>Каждая длительность 4–30 с была выбрана отдельно; ряд совпал с указанной ставкой.</x:v>
      </x:c>
    </x:row>
    <x:row r="284" ht="22" customHeight="1">
      <x:c r="A284" s="5" t="str">
        <x:v>Видео</x:v>
      </x:c>
      <x:c r="B284" s="5" t="str">
        <x:v>Seedance 2.5</x:v>
      </x:c>
      <x:c r="C284" s="5" t="str">
        <x:v>Текст → видео</x:v>
      </x:c>
      <x:c r="D284" s="5" t="str">
        <x:v>1080p</x:v>
      </x:c>
      <x:c r="E284" s="5" t="str">
        <x:v>—</x:v>
      </x:c>
      <x:c r="F284" s="5" t="n">
        <x:v>27</x:v>
      </x:c>
      <x:c r="G284" s="5" t="str">
        <x:v>выключен</x:v>
      </x:c>
      <x:c r="H284" s="5" t="str">
        <x:v>Без исходного файла</x:v>
      </x:c>
      <x:c r="I284" s="6" t="n">
        <x:v>4692.6</x:v>
      </x:c>
      <x:c r="J284" s="6" t="n">
        <x:v>4692.6</x:v>
      </x:c>
      <x:c r="K284" s="5" t="str">
        <x:v>Точная цена в редакторе</x:v>
      </x:c>
      <x:c r="L284" s="5" t="str">
        <x:v>видео</x:v>
      </x:c>
      <x:c r="M284" s="7" t="n">
        <x:f>IF(J284="","",ROUND(J284*Tariffs!$D$5,2))</x:f>
        <x:v>3902.68</x:v>
      </x:c>
      <x:c r="N284" s="7" t="n">
        <x:f>IF(J284="","",ROUND(J284*Tariffs!$D$6,2))</x:f>
        <x:v>3906.59</x:v>
      </x:c>
      <x:c r="O284" s="7" t="n">
        <x:f>IF(J284="","",ROUND(J284*Tariffs!$D$7,2))</x:f>
        <x:v>3909.72</x:v>
      </x:c>
      <x:c r="P284" s="5" t="str">
        <x:v>https://neuromia.ru/app/video/seedance</x:v>
      </x:c>
      <x:c r="Q284" s="8" t="n">
        <x:v>46282.375</x:v>
      </x:c>
      <x:c r="R284" s="5" t="str">
        <x:v>Каждая длительность 4–30 с была выбрана отдельно; ряд совпал с указанной ставкой.</x:v>
      </x:c>
    </x:row>
    <x:row r="285" ht="22" customHeight="1">
      <x:c r="A285" s="5" t="str">
        <x:v>Видео</x:v>
      </x:c>
      <x:c r="B285" s="5" t="str">
        <x:v>Seedance 2.5</x:v>
      </x:c>
      <x:c r="C285" s="5" t="str">
        <x:v>Текст → видео</x:v>
      </x:c>
      <x:c r="D285" s="5" t="str">
        <x:v>1080p</x:v>
      </x:c>
      <x:c r="E285" s="5" t="str">
        <x:v>—</x:v>
      </x:c>
      <x:c r="F285" s="5" t="n">
        <x:v>28</x:v>
      </x:c>
      <x:c r="G285" s="5" t="str">
        <x:v>выключен</x:v>
      </x:c>
      <x:c r="H285" s="5" t="str">
        <x:v>Без исходного файла</x:v>
      </x:c>
      <x:c r="I285" s="6" t="n">
        <x:v>4866.4</x:v>
      </x:c>
      <x:c r="J285" s="6" t="n">
        <x:v>4866.4</x:v>
      </x:c>
      <x:c r="K285" s="5" t="str">
        <x:v>Точная цена в редакторе</x:v>
      </x:c>
      <x:c r="L285" s="5" t="str">
        <x:v>видео</x:v>
      </x:c>
      <x:c r="M285" s="7" t="n">
        <x:f>IF(J285="","",ROUND(J285*Tariffs!$D$5,2))</x:f>
        <x:v>4047.22</x:v>
      </x:c>
      <x:c r="N285" s="7" t="n">
        <x:f>IF(J285="","",ROUND(J285*Tariffs!$D$6,2))</x:f>
        <x:v>4051.28</x:v>
      </x:c>
      <x:c r="O285" s="7" t="n">
        <x:f>IF(J285="","",ROUND(J285*Tariffs!$D$7,2))</x:f>
        <x:v>4054.52</x:v>
      </x:c>
      <x:c r="P285" s="5" t="str">
        <x:v>https://neuromia.ru/app/video/seedance</x:v>
      </x:c>
      <x:c r="Q285" s="8" t="n">
        <x:v>46282.375</x:v>
      </x:c>
      <x:c r="R285" s="5" t="str">
        <x:v>Каждая длительность 4–30 с была выбрана отдельно; ряд совпал с указанной ставкой.</x:v>
      </x:c>
    </x:row>
    <x:row r="286" ht="22" customHeight="1">
      <x:c r="A286" s="5" t="str">
        <x:v>Видео</x:v>
      </x:c>
      <x:c r="B286" s="5" t="str">
        <x:v>Seedance 2.5</x:v>
      </x:c>
      <x:c r="C286" s="5" t="str">
        <x:v>Текст → видео</x:v>
      </x:c>
      <x:c r="D286" s="5" t="str">
        <x:v>1080p</x:v>
      </x:c>
      <x:c r="E286" s="5" t="str">
        <x:v>—</x:v>
      </x:c>
      <x:c r="F286" s="5" t="n">
        <x:v>29</x:v>
      </x:c>
      <x:c r="G286" s="5" t="str">
        <x:v>выключен</x:v>
      </x:c>
      <x:c r="H286" s="5" t="str">
        <x:v>Без исходного файла</x:v>
      </x:c>
      <x:c r="I286" s="6" t="n">
        <x:v>5040.2</x:v>
      </x:c>
      <x:c r="J286" s="6" t="n">
        <x:v>5040.2</x:v>
      </x:c>
      <x:c r="K286" s="5" t="str">
        <x:v>Точная цена в редакторе</x:v>
      </x:c>
      <x:c r="L286" s="5" t="str">
        <x:v>видео</x:v>
      </x:c>
      <x:c r="M286" s="7" t="n">
        <x:f>IF(J286="","",ROUND(J286*Tariffs!$D$5,2))</x:f>
        <x:v>4191.77</x:v>
      </x:c>
      <x:c r="N286" s="7" t="n">
        <x:f>IF(J286="","",ROUND(J286*Tariffs!$D$6,2))</x:f>
        <x:v>4195.97</x:v>
      </x:c>
      <x:c r="O286" s="7" t="n">
        <x:f>IF(J286="","",ROUND(J286*Tariffs!$D$7,2))</x:f>
        <x:v>4199.33</x:v>
      </x:c>
      <x:c r="P286" s="5" t="str">
        <x:v>https://neuromia.ru/app/video/seedance</x:v>
      </x:c>
      <x:c r="Q286" s="8" t="n">
        <x:v>46282.375</x:v>
      </x:c>
      <x:c r="R286" s="5" t="str">
        <x:v>Каждая длительность 4–30 с была выбрана отдельно; ряд совпал с указанной ставкой.</x:v>
      </x:c>
    </x:row>
    <x:row r="287" ht="22" customHeight="1">
      <x:c r="A287" s="5" t="str">
        <x:v>Видео</x:v>
      </x:c>
      <x:c r="B287" s="5" t="str">
        <x:v>Seedance 2.5</x:v>
      </x:c>
      <x:c r="C287" s="5" t="str">
        <x:v>Текст → видео</x:v>
      </x:c>
      <x:c r="D287" s="5" t="str">
        <x:v>1080p</x:v>
      </x:c>
      <x:c r="E287" s="5" t="str">
        <x:v>—</x:v>
      </x:c>
      <x:c r="F287" s="5" t="n">
        <x:v>30</x:v>
      </x:c>
      <x:c r="G287" s="5" t="str">
        <x:v>выключен</x:v>
      </x:c>
      <x:c r="H287" s="5" t="str">
        <x:v>Без исходного файла</x:v>
      </x:c>
      <x:c r="I287" s="6" t="n">
        <x:v>5214</x:v>
      </x:c>
      <x:c r="J287" s="6" t="n">
        <x:v>5214</x:v>
      </x:c>
      <x:c r="K287" s="5" t="str">
        <x:v>Точная цена в редакторе</x:v>
      </x:c>
      <x:c r="L287" s="5" t="str">
        <x:v>видео</x:v>
      </x:c>
      <x:c r="M287" s="7" t="n">
        <x:f>IF(J287="","",ROUND(J287*Tariffs!$D$5,2))</x:f>
        <x:v>4336.31</x:v>
      </x:c>
      <x:c r="N287" s="7" t="n">
        <x:f>IF(J287="","",ROUND(J287*Tariffs!$D$6,2))</x:f>
        <x:v>4340.66</x:v>
      </x:c>
      <x:c r="O287" s="7" t="n">
        <x:f>IF(J287="","",ROUND(J287*Tariffs!$D$7,2))</x:f>
        <x:v>4344.13</x:v>
      </x:c>
      <x:c r="P287" s="5" t="str">
        <x:v>https://neuromia.ru/app/video/seedance</x:v>
      </x:c>
      <x:c r="Q287" s="8" t="n">
        <x:v>46282.375</x:v>
      </x:c>
      <x:c r="R287" s="5" t="str">
        <x:v>Каждая длительность 4–30 с была выбрана отдельно; ряд совпал с указанной ставкой.</x:v>
      </x:c>
    </x:row>
    <x:row r="288" ht="22" customHeight="1">
      <x:c r="A288" s="5" t="str">
        <x:v>Видео</x:v>
      </x:c>
      <x:c r="B288" s="5" t="str">
        <x:v>Seedance 2.5</x:v>
      </x:c>
      <x:c r="C288" s="5" t="str">
        <x:v>Текст → видео</x:v>
      </x:c>
      <x:c r="D288" s="5" t="str">
        <x:v>1080p</x:v>
      </x:c>
      <x:c r="E288" s="5" t="str">
        <x:v>—</x:v>
      </x:c>
      <x:c r="F288" s="5" t="n">
        <x:v>30</x:v>
      </x:c>
      <x:c r="G288" s="5" t="str">
        <x:v>включен</x:v>
      </x:c>
      <x:c r="H288" s="5" t="str">
        <x:v>Без исходного файла</x:v>
      </x:c>
      <x:c r="I288" s="6" t="n">
        <x:v>5214</x:v>
      </x:c>
      <x:c r="J288" s="6" t="n">
        <x:v>5214</x:v>
      </x:c>
      <x:c r="K288" s="5" t="str">
        <x:v>Точная цена в редакторе</x:v>
      </x:c>
      <x:c r="L288" s="5" t="str">
        <x:v>видео</x:v>
      </x:c>
      <x:c r="M288" s="7" t="n">
        <x:f>IF(J288="","",ROUND(J288*Tariffs!$D$5,2))</x:f>
        <x:v>4336.31</x:v>
      </x:c>
      <x:c r="N288" s="7" t="n">
        <x:f>IF(J288="","",ROUND(J288*Tariffs!$D$6,2))</x:f>
        <x:v>4340.66</x:v>
      </x:c>
      <x:c r="O288" s="7" t="n">
        <x:f>IF(J288="","",ROUND(J288*Tariffs!$D$7,2))</x:f>
        <x:v>4344.13</x:v>
      </x:c>
      <x:c r="P288" s="5" t="str">
        <x:v>https://neuromia.ru/app/video/seedance</x:v>
      </x:c>
      <x:c r="Q288" s="8" t="n">
        <x:v>46282.375</x:v>
      </x:c>
      <x:c r="R288" s="5" t="str"/>
    </x:row>
    <x:row r="289" ht="22" customHeight="1">
      <x:c r="A289" s="5" t="str">
        <x:v>Видео</x:v>
      </x:c>
      <x:c r="B289" s="5" t="str">
        <x:v>Seedance 2.0</x:v>
      </x:c>
      <x:c r="C289" s="5" t="str">
        <x:v>Текст → видео</x:v>
      </x:c>
      <x:c r="D289" s="5" t="str">
        <x:v>480p</x:v>
      </x:c>
      <x:c r="E289" s="5" t="str">
        <x:v>—</x:v>
      </x:c>
      <x:c r="F289" s="5" t="n">
        <x:v>4</x:v>
      </x:c>
      <x:c r="G289" s="5" t="str">
        <x:v>включен</x:v>
      </x:c>
      <x:c r="H289" s="5" t="str">
        <x:v>Без исходного файла</x:v>
      </x:c>
      <x:c r="I289" s="6" t="n">
        <x:v>83.6</x:v>
      </x:c>
      <x:c r="J289" s="6" t="n">
        <x:v>83.6</x:v>
      </x:c>
      <x:c r="K289" s="5" t="str">
        <x:v>Точная цена в редакторе</x:v>
      </x:c>
      <x:c r="L289" s="5" t="str">
        <x:v>видео</x:v>
      </x:c>
      <x:c r="M289" s="7" t="n">
        <x:f>IF(J289="","",ROUND(J289*Tariffs!$D$5,2))</x:f>
        <x:v>69.53</x:v>
      </x:c>
      <x:c r="N289" s="7" t="n">
        <x:f>IF(J289="","",ROUND(J289*Tariffs!$D$6,2))</x:f>
        <x:v>69.6</x:v>
      </x:c>
      <x:c r="O289" s="7" t="n">
        <x:f>IF(J289="","",ROUND(J289*Tariffs!$D$7,2))</x:f>
        <x:v>69.65</x:v>
      </x:c>
      <x:c r="P289" s="5" t="str">
        <x:v>https://neuromia.ru/app/video/seedance</x:v>
      </x:c>
      <x:c r="Q289" s="8" t="n">
        <x:v>46282.375</x:v>
      </x:c>
      <x:c r="R289" s="5" t="str"/>
    </x:row>
    <x:row r="290" ht="22" customHeight="1">
      <x:c r="A290" s="5" t="str">
        <x:v>Видео</x:v>
      </x:c>
      <x:c r="B290" s="5" t="str">
        <x:v>Seedance 2.0</x:v>
      </x:c>
      <x:c r="C290" s="5" t="str">
        <x:v>Текст → видео</x:v>
      </x:c>
      <x:c r="D290" s="5" t="str">
        <x:v>480p</x:v>
      </x:c>
      <x:c r="E290" s="5" t="str">
        <x:v>—</x:v>
      </x:c>
      <x:c r="F290" s="5" t="n">
        <x:v>5</x:v>
      </x:c>
      <x:c r="G290" s="5" t="str">
        <x:v>включен</x:v>
      </x:c>
      <x:c r="H290" s="5" t="str">
        <x:v>Без исходного файла</x:v>
      </x:c>
      <x:c r="I290" s="6" t="n">
        <x:v>104.5</x:v>
      </x:c>
      <x:c r="J290" s="6" t="n">
        <x:v>104.5</x:v>
      </x:c>
      <x:c r="K290" s="5" t="str">
        <x:v>Точная цена в редакторе</x:v>
      </x:c>
      <x:c r="L290" s="5" t="str">
        <x:v>видео</x:v>
      </x:c>
      <x:c r="M290" s="7" t="n">
        <x:f>IF(J290="","",ROUND(J290*Tariffs!$D$5,2))</x:f>
        <x:v>86.91</x:v>
      </x:c>
      <x:c r="N290" s="7" t="n">
        <x:f>IF(J290="","",ROUND(J290*Tariffs!$D$6,2))</x:f>
        <x:v>87</x:v>
      </x:c>
      <x:c r="O290" s="7" t="n">
        <x:f>IF(J290="","",ROUND(J290*Tariffs!$D$7,2))</x:f>
        <x:v>87.07</x:v>
      </x:c>
      <x:c r="P290" s="5" t="str">
        <x:v>https://neuromia.ru/app/video/seedance</x:v>
      </x:c>
      <x:c r="Q290" s="8" t="n">
        <x:v>46282.375</x:v>
      </x:c>
      <x:c r="R290" s="5" t="str"/>
    </x:row>
    <x:row r="291" ht="22" customHeight="1">
      <x:c r="A291" s="5" t="str">
        <x:v>Видео</x:v>
      </x:c>
      <x:c r="B291" s="5" t="str">
        <x:v>Seedance 2.0</x:v>
      </x:c>
      <x:c r="C291" s="5" t="str">
        <x:v>Текст → видео</x:v>
      </x:c>
      <x:c r="D291" s="5" t="str">
        <x:v>480p</x:v>
      </x:c>
      <x:c r="E291" s="5" t="str">
        <x:v>—</x:v>
      </x:c>
      <x:c r="F291" s="5" t="n">
        <x:v>8</x:v>
      </x:c>
      <x:c r="G291" s="5" t="str">
        <x:v>включен</x:v>
      </x:c>
      <x:c r="H291" s="5" t="str">
        <x:v>Без исходного файла</x:v>
      </x:c>
      <x:c r="I291" s="6" t="n">
        <x:v>167.2</x:v>
      </x:c>
      <x:c r="J291" s="6" t="n">
        <x:v>167.2</x:v>
      </x:c>
      <x:c r="K291" s="5" t="str">
        <x:v>Точная цена в редакторе</x:v>
      </x:c>
      <x:c r="L291" s="5" t="str">
        <x:v>видео</x:v>
      </x:c>
      <x:c r="M291" s="7" t="n">
        <x:f>IF(J291="","",ROUND(J291*Tariffs!$D$5,2))</x:f>
        <x:v>139.05</x:v>
      </x:c>
      <x:c r="N291" s="7" t="n">
        <x:f>IF(J291="","",ROUND(J291*Tariffs!$D$6,2))</x:f>
        <x:v>139.19</x:v>
      </x:c>
      <x:c r="O291" s="7" t="n">
        <x:f>IF(J291="","",ROUND(J291*Tariffs!$D$7,2))</x:f>
        <x:v>139.31</x:v>
      </x:c>
      <x:c r="P291" s="5" t="str">
        <x:v>https://neuromia.ru/app/video/seedance</x:v>
      </x:c>
      <x:c r="Q291" s="8" t="n">
        <x:v>46282.375</x:v>
      </x:c>
      <x:c r="R291" s="5" t="str"/>
    </x:row>
    <x:row r="292" ht="22" customHeight="1">
      <x:c r="A292" s="5" t="str">
        <x:v>Видео</x:v>
      </x:c>
      <x:c r="B292" s="5" t="str">
        <x:v>Seedance 2.0</x:v>
      </x:c>
      <x:c r="C292" s="5" t="str">
        <x:v>Текст → видео</x:v>
      </x:c>
      <x:c r="D292" s="5" t="str">
        <x:v>480p</x:v>
      </x:c>
      <x:c r="E292" s="5" t="str">
        <x:v>—</x:v>
      </x:c>
      <x:c r="F292" s="5" t="n">
        <x:v>10</x:v>
      </x:c>
      <x:c r="G292" s="5" t="str">
        <x:v>включен</x:v>
      </x:c>
      <x:c r="H292" s="5" t="str">
        <x:v>Без исходного файла</x:v>
      </x:c>
      <x:c r="I292" s="6" t="n">
        <x:v>209</x:v>
      </x:c>
      <x:c r="J292" s="6" t="n">
        <x:v>209</x:v>
      </x:c>
      <x:c r="K292" s="5" t="str">
        <x:v>Точная цена в редакторе</x:v>
      </x:c>
      <x:c r="L292" s="5" t="str">
        <x:v>видео</x:v>
      </x:c>
      <x:c r="M292" s="7" t="n">
        <x:f>IF(J292="","",ROUND(J292*Tariffs!$D$5,2))</x:f>
        <x:v>173.82</x:v>
      </x:c>
      <x:c r="N292" s="7" t="n">
        <x:f>IF(J292="","",ROUND(J292*Tariffs!$D$6,2))</x:f>
        <x:v>173.99</x:v>
      </x:c>
      <x:c r="O292" s="7" t="n">
        <x:f>IF(J292="","",ROUND(J292*Tariffs!$D$7,2))</x:f>
        <x:v>174.13</x:v>
      </x:c>
      <x:c r="P292" s="5" t="str">
        <x:v>https://neuromia.ru/app/video/seedance</x:v>
      </x:c>
      <x:c r="Q292" s="8" t="n">
        <x:v>46282.375</x:v>
      </x:c>
      <x:c r="R292" s="5" t="str"/>
    </x:row>
    <x:row r="293" ht="22" customHeight="1">
      <x:c r="A293" s="5" t="str">
        <x:v>Видео</x:v>
      </x:c>
      <x:c r="B293" s="5" t="str">
        <x:v>Seedance 2.0</x:v>
      </x:c>
      <x:c r="C293" s="5" t="str">
        <x:v>Текст → видео</x:v>
      </x:c>
      <x:c r="D293" s="5" t="str">
        <x:v>480p</x:v>
      </x:c>
      <x:c r="E293" s="5" t="str">
        <x:v>—</x:v>
      </x:c>
      <x:c r="F293" s="5" t="n">
        <x:v>15</x:v>
      </x:c>
      <x:c r="G293" s="5" t="str">
        <x:v>включен</x:v>
      </x:c>
      <x:c r="H293" s="5" t="str">
        <x:v>Без исходного файла</x:v>
      </x:c>
      <x:c r="I293" s="6" t="n">
        <x:v>313.5</x:v>
      </x:c>
      <x:c r="J293" s="6" t="n">
        <x:v>313.5</x:v>
      </x:c>
      <x:c r="K293" s="5" t="str">
        <x:v>Точная цена в редакторе</x:v>
      </x:c>
      <x:c r="L293" s="5" t="str">
        <x:v>видео</x:v>
      </x:c>
      <x:c r="M293" s="7" t="n">
        <x:f>IF(J293="","",ROUND(J293*Tariffs!$D$5,2))</x:f>
        <x:v>260.73</x:v>
      </x:c>
      <x:c r="N293" s="7" t="n">
        <x:f>IF(J293="","",ROUND(J293*Tariffs!$D$6,2))</x:f>
        <x:v>260.99</x:v>
      </x:c>
      <x:c r="O293" s="7" t="n">
        <x:f>IF(J293="","",ROUND(J293*Tariffs!$D$7,2))</x:f>
        <x:v>261.2</x:v>
      </x:c>
      <x:c r="P293" s="5" t="str">
        <x:v>https://neuromia.ru/app/video/seedance</x:v>
      </x:c>
      <x:c r="Q293" s="8" t="n">
        <x:v>46282.375</x:v>
      </x:c>
      <x:c r="R293" s="5" t="str"/>
    </x:row>
    <x:row r="294" ht="22" customHeight="1">
      <x:c r="A294" s="5" t="str">
        <x:v>Видео</x:v>
      </x:c>
      <x:c r="B294" s="5" t="str">
        <x:v>Seedance 2.0</x:v>
      </x:c>
      <x:c r="C294" s="5" t="str">
        <x:v>Текст → видео</x:v>
      </x:c>
      <x:c r="D294" s="5" t="str">
        <x:v>720p</x:v>
      </x:c>
      <x:c r="E294" s="5" t="str">
        <x:v>—</x:v>
      </x:c>
      <x:c r="F294" s="5" t="n">
        <x:v>4</x:v>
      </x:c>
      <x:c r="G294" s="5" t="str">
        <x:v>включен</x:v>
      </x:c>
      <x:c r="H294" s="5" t="str">
        <x:v>Без исходного файла</x:v>
      </x:c>
      <x:c r="I294" s="6" t="n">
        <x:v>180.4</x:v>
      </x:c>
      <x:c r="J294" s="6" t="n">
        <x:v>180.4</x:v>
      </x:c>
      <x:c r="K294" s="5" t="str">
        <x:v>Точная цена в редакторе</x:v>
      </x:c>
      <x:c r="L294" s="5" t="str">
        <x:v>видео</x:v>
      </x:c>
      <x:c r="M294" s="7" t="n">
        <x:f>IF(J294="","",ROUND(J294*Tariffs!$D$5,2))</x:f>
        <x:v>150.03</x:v>
      </x:c>
      <x:c r="N294" s="7" t="n">
        <x:f>IF(J294="","",ROUND(J294*Tariffs!$D$6,2))</x:f>
        <x:v>150.18</x:v>
      </x:c>
      <x:c r="O294" s="7" t="n">
        <x:f>IF(J294="","",ROUND(J294*Tariffs!$D$7,2))</x:f>
        <x:v>150.3</x:v>
      </x:c>
      <x:c r="P294" s="5" t="str">
        <x:v>https://neuromia.ru/app/video/seedance</x:v>
      </x:c>
      <x:c r="Q294" s="8" t="n">
        <x:v>46282.375</x:v>
      </x:c>
      <x:c r="R294" s="5" t="str"/>
    </x:row>
    <x:row r="295" ht="22" customHeight="1">
      <x:c r="A295" s="5" t="str">
        <x:v>Видео</x:v>
      </x:c>
      <x:c r="B295" s="5" t="str">
        <x:v>Seedance 2.0</x:v>
      </x:c>
      <x:c r="C295" s="5" t="str">
        <x:v>Текст → видео</x:v>
      </x:c>
      <x:c r="D295" s="5" t="str">
        <x:v>720p</x:v>
      </x:c>
      <x:c r="E295" s="5" t="str">
        <x:v>—</x:v>
      </x:c>
      <x:c r="F295" s="5" t="n">
        <x:v>5</x:v>
      </x:c>
      <x:c r="G295" s="5" t="str">
        <x:v>включен</x:v>
      </x:c>
      <x:c r="H295" s="5" t="str">
        <x:v>Без исходного файла</x:v>
      </x:c>
      <x:c r="I295" s="6" t="n">
        <x:v>225.5</x:v>
      </x:c>
      <x:c r="J295" s="6" t="n">
        <x:v>225.5</x:v>
      </x:c>
      <x:c r="K295" s="5" t="str">
        <x:v>Точная цена в редакторе</x:v>
      </x:c>
      <x:c r="L295" s="5" t="str">
        <x:v>видео</x:v>
      </x:c>
      <x:c r="M295" s="7" t="n">
        <x:f>IF(J295="","",ROUND(J295*Tariffs!$D$5,2))</x:f>
        <x:v>187.54</x:v>
      </x:c>
      <x:c r="N295" s="7" t="n">
        <x:f>IF(J295="","",ROUND(J295*Tariffs!$D$6,2))</x:f>
        <x:v>187.73</x:v>
      </x:c>
      <x:c r="O295" s="7" t="n">
        <x:f>IF(J295="","",ROUND(J295*Tariffs!$D$7,2))</x:f>
        <x:v>187.88</x:v>
      </x:c>
      <x:c r="P295" s="5" t="str">
        <x:v>https://neuromia.ru/app/video/seedance</x:v>
      </x:c>
      <x:c r="Q295" s="8" t="n">
        <x:v>46282.375</x:v>
      </x:c>
      <x:c r="R295" s="5" t="str"/>
    </x:row>
    <x:row r="296" ht="22" customHeight="1">
      <x:c r="A296" s="5" t="str">
        <x:v>Видео</x:v>
      </x:c>
      <x:c r="B296" s="5" t="str">
        <x:v>Seedance 2.0</x:v>
      </x:c>
      <x:c r="C296" s="5" t="str">
        <x:v>Текст → видео</x:v>
      </x:c>
      <x:c r="D296" s="5" t="str">
        <x:v>720p</x:v>
      </x:c>
      <x:c r="E296" s="5" t="str">
        <x:v>—</x:v>
      </x:c>
      <x:c r="F296" s="5" t="n">
        <x:v>8</x:v>
      </x:c>
      <x:c r="G296" s="5" t="str">
        <x:v>включен</x:v>
      </x:c>
      <x:c r="H296" s="5" t="str">
        <x:v>Без исходного файла</x:v>
      </x:c>
      <x:c r="I296" s="6" t="n">
        <x:v>360.8</x:v>
      </x:c>
      <x:c r="J296" s="6" t="n">
        <x:v>360.8</x:v>
      </x:c>
      <x:c r="K296" s="5" t="str">
        <x:v>Точная цена в редакторе</x:v>
      </x:c>
      <x:c r="L296" s="5" t="str">
        <x:v>видео</x:v>
      </x:c>
      <x:c r="M296" s="7" t="n">
        <x:f>IF(J296="","",ROUND(J296*Tariffs!$D$5,2))</x:f>
        <x:v>300.07</x:v>
      </x:c>
      <x:c r="N296" s="7" t="n">
        <x:f>IF(J296="","",ROUND(J296*Tariffs!$D$6,2))</x:f>
        <x:v>300.37</x:v>
      </x:c>
      <x:c r="O296" s="7" t="n">
        <x:f>IF(J296="","",ROUND(J296*Tariffs!$D$7,2))</x:f>
        <x:v>300.61</x:v>
      </x:c>
      <x:c r="P296" s="5" t="str">
        <x:v>https://neuromia.ru/app/video/seedance</x:v>
      </x:c>
      <x:c r="Q296" s="8" t="n">
        <x:v>46282.375</x:v>
      </x:c>
      <x:c r="R296" s="5" t="str"/>
    </x:row>
    <x:row r="297" ht="22" customHeight="1">
      <x:c r="A297" s="5" t="str">
        <x:v>Видео</x:v>
      </x:c>
      <x:c r="B297" s="5" t="str">
        <x:v>Seedance 2.0</x:v>
      </x:c>
      <x:c r="C297" s="5" t="str">
        <x:v>Текст → видео</x:v>
      </x:c>
      <x:c r="D297" s="5" t="str">
        <x:v>720p</x:v>
      </x:c>
      <x:c r="E297" s="5" t="str">
        <x:v>—</x:v>
      </x:c>
      <x:c r="F297" s="5" t="n">
        <x:v>10</x:v>
      </x:c>
      <x:c r="G297" s="5" t="str">
        <x:v>включен</x:v>
      </x:c>
      <x:c r="H297" s="5" t="str">
        <x:v>Без исходного файла</x:v>
      </x:c>
      <x:c r="I297" s="6" t="n">
        <x:v>451</x:v>
      </x:c>
      <x:c r="J297" s="6" t="n">
        <x:v>451</x:v>
      </x:c>
      <x:c r="K297" s="5" t="str">
        <x:v>Точная цена в редакторе</x:v>
      </x:c>
      <x:c r="L297" s="5" t="str">
        <x:v>видео</x:v>
      </x:c>
      <x:c r="M297" s="7" t="n">
        <x:f>IF(J297="","",ROUND(J297*Tariffs!$D$5,2))</x:f>
        <x:v>375.08</x:v>
      </x:c>
      <x:c r="N297" s="7" t="n">
        <x:f>IF(J297="","",ROUND(J297*Tariffs!$D$6,2))</x:f>
        <x:v>375.46</x:v>
      </x:c>
      <x:c r="O297" s="7" t="n">
        <x:f>IF(J297="","",ROUND(J297*Tariffs!$D$7,2))</x:f>
        <x:v>375.76</x:v>
      </x:c>
      <x:c r="P297" s="5" t="str">
        <x:v>https://neuromia.ru/app/video/seedance</x:v>
      </x:c>
      <x:c r="Q297" s="8" t="n">
        <x:v>46282.375</x:v>
      </x:c>
      <x:c r="R297" s="5" t="str"/>
    </x:row>
    <x:row r="298" ht="22" customHeight="1">
      <x:c r="A298" s="5" t="str">
        <x:v>Видео</x:v>
      </x:c>
      <x:c r="B298" s="5" t="str">
        <x:v>Seedance 2.0</x:v>
      </x:c>
      <x:c r="C298" s="5" t="str">
        <x:v>Текст → видео</x:v>
      </x:c>
      <x:c r="D298" s="5" t="str">
        <x:v>720p</x:v>
      </x:c>
      <x:c r="E298" s="5" t="str">
        <x:v>—</x:v>
      </x:c>
      <x:c r="F298" s="5" t="n">
        <x:v>15</x:v>
      </x:c>
      <x:c r="G298" s="5" t="str">
        <x:v>включен</x:v>
      </x:c>
      <x:c r="H298" s="5" t="str">
        <x:v>Без исходного файла</x:v>
      </x:c>
      <x:c r="I298" s="6" t="n">
        <x:v>676.5</x:v>
      </x:c>
      <x:c r="J298" s="6" t="n">
        <x:v>676.5</x:v>
      </x:c>
      <x:c r="K298" s="5" t="str">
        <x:v>Точная цена в редакторе</x:v>
      </x:c>
      <x:c r="L298" s="5" t="str">
        <x:v>видео</x:v>
      </x:c>
      <x:c r="M298" s="7" t="n">
        <x:f>IF(J298="","",ROUND(J298*Tariffs!$D$5,2))</x:f>
        <x:v>562.62</x:v>
      </x:c>
      <x:c r="N298" s="7" t="n">
        <x:f>IF(J298="","",ROUND(J298*Tariffs!$D$6,2))</x:f>
        <x:v>563.19</x:v>
      </x:c>
      <x:c r="O298" s="7" t="n">
        <x:f>IF(J298="","",ROUND(J298*Tariffs!$D$7,2))</x:f>
        <x:v>563.64</x:v>
      </x:c>
      <x:c r="P298" s="5" t="str">
        <x:v>https://neuromia.ru/app/video/seedance</x:v>
      </x:c>
      <x:c r="Q298" s="8" t="n">
        <x:v>46282.375</x:v>
      </x:c>
      <x:c r="R298" s="5" t="str"/>
    </x:row>
    <x:row r="299" ht="22" customHeight="1">
      <x:c r="A299" s="5" t="str">
        <x:v>Видео</x:v>
      </x:c>
      <x:c r="B299" s="5" t="str">
        <x:v>Seedance 2.0</x:v>
      </x:c>
      <x:c r="C299" s="5" t="str">
        <x:v>Текст → видео</x:v>
      </x:c>
      <x:c r="D299" s="5" t="str">
        <x:v>1080p</x:v>
      </x:c>
      <x:c r="E299" s="5" t="str">
        <x:v>—</x:v>
      </x:c>
      <x:c r="F299" s="5" t="n">
        <x:v>4</x:v>
      </x:c>
      <x:c r="G299" s="5" t="str">
        <x:v>включен</x:v>
      </x:c>
      <x:c r="H299" s="5" t="str">
        <x:v>Без исходного файла</x:v>
      </x:c>
      <x:c r="I299" s="6" t="n">
        <x:v>448.8</x:v>
      </x:c>
      <x:c r="J299" s="6" t="n">
        <x:v>448.8</x:v>
      </x:c>
      <x:c r="K299" s="5" t="str">
        <x:v>Точная цена в редакторе</x:v>
      </x:c>
      <x:c r="L299" s="5" t="str">
        <x:v>видео</x:v>
      </x:c>
      <x:c r="M299" s="7" t="n">
        <x:f>IF(J299="","",ROUND(J299*Tariffs!$D$5,2))</x:f>
        <x:v>373.25</x:v>
      </x:c>
      <x:c r="N299" s="7" t="n">
        <x:f>IF(J299="","",ROUND(J299*Tariffs!$D$6,2))</x:f>
        <x:v>373.63</x:v>
      </x:c>
      <x:c r="O299" s="7" t="n">
        <x:f>IF(J299="","",ROUND(J299*Tariffs!$D$7,2))</x:f>
        <x:v>373.93</x:v>
      </x:c>
      <x:c r="P299" s="5" t="str">
        <x:v>https://neuromia.ru/app/video/seedance</x:v>
      </x:c>
      <x:c r="Q299" s="8" t="n">
        <x:v>46282.375</x:v>
      </x:c>
      <x:c r="R299" s="5" t="str"/>
    </x:row>
    <x:row r="300" ht="22" customHeight="1">
      <x:c r="A300" s="5" t="str">
        <x:v>Видео</x:v>
      </x:c>
      <x:c r="B300" s="5" t="str">
        <x:v>Seedance 2.0</x:v>
      </x:c>
      <x:c r="C300" s="5" t="str">
        <x:v>Текст → видео</x:v>
      </x:c>
      <x:c r="D300" s="5" t="str">
        <x:v>1080p</x:v>
      </x:c>
      <x:c r="E300" s="5" t="str">
        <x:v>—</x:v>
      </x:c>
      <x:c r="F300" s="5" t="n">
        <x:v>5</x:v>
      </x:c>
      <x:c r="G300" s="5" t="str">
        <x:v>включен</x:v>
      </x:c>
      <x:c r="H300" s="5" t="str">
        <x:v>Без исходного файла</x:v>
      </x:c>
      <x:c r="I300" s="6" t="n">
        <x:v>561</x:v>
      </x:c>
      <x:c r="J300" s="6" t="n">
        <x:v>561</x:v>
      </x:c>
      <x:c r="K300" s="5" t="str">
        <x:v>Точная цена в редакторе</x:v>
      </x:c>
      <x:c r="L300" s="5" t="str">
        <x:v>видео</x:v>
      </x:c>
      <x:c r="M300" s="7" t="n">
        <x:f>IF(J300="","",ROUND(J300*Tariffs!$D$5,2))</x:f>
        <x:v>466.57</x:v>
      </x:c>
      <x:c r="N300" s="7" t="n">
        <x:f>IF(J300="","",ROUND(J300*Tariffs!$D$6,2))</x:f>
        <x:v>467.03</x:v>
      </x:c>
      <x:c r="O300" s="7" t="n">
        <x:f>IF(J300="","",ROUND(J300*Tariffs!$D$7,2))</x:f>
        <x:v>467.41</x:v>
      </x:c>
      <x:c r="P300" s="5" t="str">
        <x:v>https://neuromia.ru/app/video/seedance</x:v>
      </x:c>
      <x:c r="Q300" s="8" t="n">
        <x:v>46282.375</x:v>
      </x:c>
      <x:c r="R300" s="5" t="str"/>
    </x:row>
    <x:row r="301" ht="22" customHeight="1">
      <x:c r="A301" s="5" t="str">
        <x:v>Видео</x:v>
      </x:c>
      <x:c r="B301" s="5" t="str">
        <x:v>Seedance 2.0</x:v>
      </x:c>
      <x:c r="C301" s="5" t="str">
        <x:v>Текст → видео</x:v>
      </x:c>
      <x:c r="D301" s="5" t="str">
        <x:v>1080p</x:v>
      </x:c>
      <x:c r="E301" s="5" t="str">
        <x:v>—</x:v>
      </x:c>
      <x:c r="F301" s="5" t="n">
        <x:v>8</x:v>
      </x:c>
      <x:c r="G301" s="5" t="str">
        <x:v>включен</x:v>
      </x:c>
      <x:c r="H301" s="5" t="str">
        <x:v>Без исходного файла</x:v>
      </x:c>
      <x:c r="I301" s="6" t="n">
        <x:v>897.6</x:v>
      </x:c>
      <x:c r="J301" s="6" t="n">
        <x:v>897.6</x:v>
      </x:c>
      <x:c r="K301" s="5" t="str">
        <x:v>Точная цена в редакторе</x:v>
      </x:c>
      <x:c r="L301" s="5" t="str">
        <x:v>видео</x:v>
      </x:c>
      <x:c r="M301" s="7" t="n">
        <x:f>IF(J301="","",ROUND(J301*Tariffs!$D$5,2))</x:f>
        <x:v>746.5</x:v>
      </x:c>
      <x:c r="N301" s="7" t="n">
        <x:f>IF(J301="","",ROUND(J301*Tariffs!$D$6,2))</x:f>
        <x:v>747.25</x:v>
      </x:c>
      <x:c r="O301" s="7" t="n">
        <x:f>IF(J301="","",ROUND(J301*Tariffs!$D$7,2))</x:f>
        <x:v>747.85</x:v>
      </x:c>
      <x:c r="P301" s="5" t="str">
        <x:v>https://neuromia.ru/app/video/seedance</x:v>
      </x:c>
      <x:c r="Q301" s="8" t="n">
        <x:v>46282.375</x:v>
      </x:c>
      <x:c r="R301" s="5" t="str"/>
    </x:row>
    <x:row r="302" ht="22" customHeight="1">
      <x:c r="A302" s="5" t="str">
        <x:v>Видео</x:v>
      </x:c>
      <x:c r="B302" s="5" t="str">
        <x:v>Seedance 2.0</x:v>
      </x:c>
      <x:c r="C302" s="5" t="str">
        <x:v>Текст → видео</x:v>
      </x:c>
      <x:c r="D302" s="5" t="str">
        <x:v>1080p</x:v>
      </x:c>
      <x:c r="E302" s="5" t="str">
        <x:v>—</x:v>
      </x:c>
      <x:c r="F302" s="5" t="n">
        <x:v>10</x:v>
      </x:c>
      <x:c r="G302" s="5" t="str">
        <x:v>включен</x:v>
      </x:c>
      <x:c r="H302" s="5" t="str">
        <x:v>Без исходного файла</x:v>
      </x:c>
      <x:c r="I302" s="6" t="n">
        <x:v>1122</x:v>
      </x:c>
      <x:c r="J302" s="6" t="n">
        <x:v>1122</x:v>
      </x:c>
      <x:c r="K302" s="5" t="str">
        <x:v>Точная цена в редакторе</x:v>
      </x:c>
      <x:c r="L302" s="5" t="str">
        <x:v>видео</x:v>
      </x:c>
      <x:c r="M302" s="7" t="n">
        <x:f>IF(J302="","",ROUND(J302*Tariffs!$D$5,2))</x:f>
        <x:v>933.13</x:v>
      </x:c>
      <x:c r="N302" s="7" t="n">
        <x:f>IF(J302="","",ROUND(J302*Tariffs!$D$6,2))</x:f>
        <x:v>934.07</x:v>
      </x:c>
      <x:c r="O302" s="7" t="n">
        <x:f>IF(J302="","",ROUND(J302*Tariffs!$D$7,2))</x:f>
        <x:v>934.81</x:v>
      </x:c>
      <x:c r="P302" s="5" t="str">
        <x:v>https://neuromia.ru/app/video/seedance</x:v>
      </x:c>
      <x:c r="Q302" s="8" t="n">
        <x:v>46282.375</x:v>
      </x:c>
      <x:c r="R302" s="5" t="str"/>
    </x:row>
    <x:row r="303" ht="22" customHeight="1">
      <x:c r="A303" s="5" t="str">
        <x:v>Видео</x:v>
      </x:c>
      <x:c r="B303" s="5" t="str">
        <x:v>Seedance 2.0</x:v>
      </x:c>
      <x:c r="C303" s="5" t="str">
        <x:v>Текст → видео</x:v>
      </x:c>
      <x:c r="D303" s="5" t="str">
        <x:v>1080p</x:v>
      </x:c>
      <x:c r="E303" s="5" t="str">
        <x:v>—</x:v>
      </x:c>
      <x:c r="F303" s="5" t="n">
        <x:v>15</x:v>
      </x:c>
      <x:c r="G303" s="5" t="str">
        <x:v>включен</x:v>
      </x:c>
      <x:c r="H303" s="5" t="str">
        <x:v>Без исходного файла</x:v>
      </x:c>
      <x:c r="I303" s="6" t="n">
        <x:v>1683</x:v>
      </x:c>
      <x:c r="J303" s="6" t="n">
        <x:v>1683</x:v>
      </x:c>
      <x:c r="K303" s="5" t="str">
        <x:v>Точная цена в редакторе</x:v>
      </x:c>
      <x:c r="L303" s="5" t="str">
        <x:v>видео</x:v>
      </x:c>
      <x:c r="M303" s="7" t="n">
        <x:f>IF(J303="","",ROUND(J303*Tariffs!$D$5,2))</x:f>
        <x:v>1399.7</x:v>
      </x:c>
      <x:c r="N303" s="7" t="n">
        <x:f>IF(J303="","",ROUND(J303*Tariffs!$D$6,2))</x:f>
        <x:v>1401.1</x:v>
      </x:c>
      <x:c r="O303" s="7" t="n">
        <x:f>IF(J303="","",ROUND(J303*Tariffs!$D$7,2))</x:f>
        <x:v>1402.22</x:v>
      </x:c>
      <x:c r="P303" s="5" t="str">
        <x:v>https://neuromia.ru/app/video/seedance</x:v>
      </x:c>
      <x:c r="Q303" s="8" t="n">
        <x:v>46282.375</x:v>
      </x:c>
      <x:c r="R303" s="5" t="str"/>
    </x:row>
    <x:row r="304" ht="22" customHeight="1">
      <x:c r="A304" s="5" t="str">
        <x:v>Видео</x:v>
      </x:c>
      <x:c r="B304" s="5" t="str">
        <x:v>Seedance 1.5 Pro</x:v>
      </x:c>
      <x:c r="C304" s="5" t="str">
        <x:v>Текст → видео</x:v>
      </x:c>
      <x:c r="D304" s="5" t="str">
        <x:v>480p</x:v>
      </x:c>
      <x:c r="E304" s="5" t="str">
        <x:v>—</x:v>
      </x:c>
      <x:c r="F304" s="5" t="n">
        <x:v>4</x:v>
      </x:c>
      <x:c r="G304" s="5" t="str">
        <x:v>включен</x:v>
      </x:c>
      <x:c r="H304" s="5" t="str">
        <x:v>Без исходного файла</x:v>
      </x:c>
      <x:c r="I304" s="6" t="n">
        <x:v>15.4</x:v>
      </x:c>
      <x:c r="J304" s="6" t="n">
        <x:v>15.4</x:v>
      </x:c>
      <x:c r="K304" s="5" t="str">
        <x:v>Точная цена в редакторе</x:v>
      </x:c>
      <x:c r="L304" s="5" t="str">
        <x:v>видео</x:v>
      </x:c>
      <x:c r="M304" s="7" t="n">
        <x:f>IF(J304="","",ROUND(J304*Tariffs!$D$5,2))</x:f>
        <x:v>12.81</x:v>
      </x:c>
      <x:c r="N304" s="7" t="n">
        <x:f>IF(J304="","",ROUND(J304*Tariffs!$D$6,2))</x:f>
        <x:v>12.82</x:v>
      </x:c>
      <x:c r="O304" s="7" t="n">
        <x:f>IF(J304="","",ROUND(J304*Tariffs!$D$7,2))</x:f>
        <x:v>12.83</x:v>
      </x:c>
      <x:c r="P304" s="5" t="str">
        <x:v>https://neuromia.ru/app/video/seedance</x:v>
      </x:c>
      <x:c r="Q304" s="8" t="n">
        <x:v>46282.375</x:v>
      </x:c>
      <x:c r="R304" s="5" t="str"/>
    </x:row>
    <x:row r="305" ht="22" customHeight="1">
      <x:c r="A305" s="5" t="str">
        <x:v>Видео</x:v>
      </x:c>
      <x:c r="B305" s="5" t="str">
        <x:v>Seedance 1.5 Pro</x:v>
      </x:c>
      <x:c r="C305" s="5" t="str">
        <x:v>Текст → видео</x:v>
      </x:c>
      <x:c r="D305" s="5" t="str">
        <x:v>480p</x:v>
      </x:c>
      <x:c r="E305" s="5" t="str">
        <x:v>—</x:v>
      </x:c>
      <x:c r="F305" s="5" t="n">
        <x:v>8</x:v>
      </x:c>
      <x:c r="G305" s="5" t="str">
        <x:v>включен</x:v>
      </x:c>
      <x:c r="H305" s="5" t="str">
        <x:v>Без исходного файла</x:v>
      </x:c>
      <x:c r="I305" s="6" t="n">
        <x:v>30.8</x:v>
      </x:c>
      <x:c r="J305" s="6" t="n">
        <x:v>30.8</x:v>
      </x:c>
      <x:c r="K305" s="5" t="str">
        <x:v>Точная цена в редакторе</x:v>
      </x:c>
      <x:c r="L305" s="5" t="str">
        <x:v>видео</x:v>
      </x:c>
      <x:c r="M305" s="7" t="n">
        <x:f>IF(J305="","",ROUND(J305*Tariffs!$D$5,2))</x:f>
        <x:v>25.62</x:v>
      </x:c>
      <x:c r="N305" s="7" t="n">
        <x:f>IF(J305="","",ROUND(J305*Tariffs!$D$6,2))</x:f>
        <x:v>25.64</x:v>
      </x:c>
      <x:c r="O305" s="7" t="n">
        <x:f>IF(J305="","",ROUND(J305*Tariffs!$D$7,2))</x:f>
        <x:v>25.66</x:v>
      </x:c>
      <x:c r="P305" s="5" t="str">
        <x:v>https://neuromia.ru/app/video/seedance</x:v>
      </x:c>
      <x:c r="Q305" s="8" t="n">
        <x:v>46282.375</x:v>
      </x:c>
      <x:c r="R305" s="5" t="str"/>
    </x:row>
    <x:row r="306" ht="22" customHeight="1">
      <x:c r="A306" s="5" t="str">
        <x:v>Видео</x:v>
      </x:c>
      <x:c r="B306" s="5" t="str">
        <x:v>Seedance 1.5 Pro</x:v>
      </x:c>
      <x:c r="C306" s="5" t="str">
        <x:v>Текст → видео</x:v>
      </x:c>
      <x:c r="D306" s="5" t="str">
        <x:v>480p</x:v>
      </x:c>
      <x:c r="E306" s="5" t="str">
        <x:v>—</x:v>
      </x:c>
      <x:c r="F306" s="5" t="n">
        <x:v>12</x:v>
      </x:c>
      <x:c r="G306" s="5" t="str">
        <x:v>включен</x:v>
      </x:c>
      <x:c r="H306" s="5" t="str">
        <x:v>Без исходного файла</x:v>
      </x:c>
      <x:c r="I306" s="6" t="n">
        <x:v>46.2</x:v>
      </x:c>
      <x:c r="J306" s="6" t="n">
        <x:v>46.2</x:v>
      </x:c>
      <x:c r="K306" s="5" t="str">
        <x:v>Точная цена в редакторе</x:v>
      </x:c>
      <x:c r="L306" s="5" t="str">
        <x:v>видео</x:v>
      </x:c>
      <x:c r="M306" s="7" t="n">
        <x:f>IF(J306="","",ROUND(J306*Tariffs!$D$5,2))</x:f>
        <x:v>38.42</x:v>
      </x:c>
      <x:c r="N306" s="7" t="n">
        <x:f>IF(J306="","",ROUND(J306*Tariffs!$D$6,2))</x:f>
        <x:v>38.46</x:v>
      </x:c>
      <x:c r="O306" s="7" t="n">
        <x:f>IF(J306="","",ROUND(J306*Tariffs!$D$7,2))</x:f>
        <x:v>38.49</x:v>
      </x:c>
      <x:c r="P306" s="5" t="str">
        <x:v>https://neuromia.ru/app/video/seedance</x:v>
      </x:c>
      <x:c r="Q306" s="8" t="n">
        <x:v>46282.375</x:v>
      </x:c>
      <x:c r="R306" s="5" t="str"/>
    </x:row>
    <x:row r="307" ht="22" customHeight="1">
      <x:c r="A307" s="5" t="str">
        <x:v>Видео</x:v>
      </x:c>
      <x:c r="B307" s="5" t="str">
        <x:v>Seedance 1.5 Pro</x:v>
      </x:c>
      <x:c r="C307" s="5" t="str">
        <x:v>Текст → видео</x:v>
      </x:c>
      <x:c r="D307" s="5" t="str">
        <x:v>480p</x:v>
      </x:c>
      <x:c r="E307" s="5" t="str">
        <x:v>—</x:v>
      </x:c>
      <x:c r="F307" s="5" t="n">
        <x:v>4</x:v>
      </x:c>
      <x:c r="G307" s="5" t="str">
        <x:v>выключен</x:v>
      </x:c>
      <x:c r="H307" s="5" t="str">
        <x:v>Без исходного файла</x:v>
      </x:c>
      <x:c r="I307" s="6" t="n">
        <x:v>7.72</x:v>
      </x:c>
      <x:c r="J307" s="6" t="n">
        <x:v>7.72</x:v>
      </x:c>
      <x:c r="K307" s="5" t="str">
        <x:v>Точная цена в редакторе</x:v>
      </x:c>
      <x:c r="L307" s="5" t="str">
        <x:v>видео</x:v>
      </x:c>
      <x:c r="M307" s="7" t="n">
        <x:f>IF(J307="","",ROUND(J307*Tariffs!$D$5,2))</x:f>
        <x:v>6.42</x:v>
      </x:c>
      <x:c r="N307" s="7" t="n">
        <x:f>IF(J307="","",ROUND(J307*Tariffs!$D$6,2))</x:f>
        <x:v>6.43</x:v>
      </x:c>
      <x:c r="O307" s="7" t="n">
        <x:f>IF(J307="","",ROUND(J307*Tariffs!$D$7,2))</x:f>
        <x:v>6.43</x:v>
      </x:c>
      <x:c r="P307" s="5" t="str">
        <x:v>https://neuromia.ru/app/video/seedance</x:v>
      </x:c>
      <x:c r="Q307" s="8" t="n">
        <x:v>46282.375</x:v>
      </x:c>
      <x:c r="R307" s="5" t="str"/>
    </x:row>
    <x:row r="308" ht="22" customHeight="1">
      <x:c r="A308" s="5" t="str">
        <x:v>Видео</x:v>
      </x:c>
      <x:c r="B308" s="5" t="str">
        <x:v>Seedance 1.5 Pro</x:v>
      </x:c>
      <x:c r="C308" s="5" t="str">
        <x:v>Текст → видео</x:v>
      </x:c>
      <x:c r="D308" s="5" t="str">
        <x:v>480p</x:v>
      </x:c>
      <x:c r="E308" s="5" t="str">
        <x:v>—</x:v>
      </x:c>
      <x:c r="F308" s="5" t="n">
        <x:v>8</x:v>
      </x:c>
      <x:c r="G308" s="5" t="str">
        <x:v>выключен</x:v>
      </x:c>
      <x:c r="H308" s="5" t="str">
        <x:v>Без исходного файла</x:v>
      </x:c>
      <x:c r="I308" s="6" t="n">
        <x:v>15.44</x:v>
      </x:c>
      <x:c r="J308" s="6" t="n">
        <x:v>15.44</x:v>
      </x:c>
      <x:c r="K308" s="5" t="str">
        <x:v>Точная цена в редакторе</x:v>
      </x:c>
      <x:c r="L308" s="5" t="str">
        <x:v>видео</x:v>
      </x:c>
      <x:c r="M308" s="7" t="n">
        <x:f>IF(J308="","",ROUND(J308*Tariffs!$D$5,2))</x:f>
        <x:v>12.84</x:v>
      </x:c>
      <x:c r="N308" s="7" t="n">
        <x:f>IF(J308="","",ROUND(J308*Tariffs!$D$6,2))</x:f>
        <x:v>12.85</x:v>
      </x:c>
      <x:c r="O308" s="7" t="n">
        <x:f>IF(J308="","",ROUND(J308*Tariffs!$D$7,2))</x:f>
        <x:v>12.86</x:v>
      </x:c>
      <x:c r="P308" s="5" t="str">
        <x:v>https://neuromia.ru/app/video/seedance</x:v>
      </x:c>
      <x:c r="Q308" s="8" t="n">
        <x:v>46282.375</x:v>
      </x:c>
      <x:c r="R308" s="5" t="str"/>
    </x:row>
    <x:row r="309" ht="22" customHeight="1">
      <x:c r="A309" s="5" t="str">
        <x:v>Видео</x:v>
      </x:c>
      <x:c r="B309" s="5" t="str">
        <x:v>Seedance 1.5 Pro</x:v>
      </x:c>
      <x:c r="C309" s="5" t="str">
        <x:v>Текст → видео</x:v>
      </x:c>
      <x:c r="D309" s="5" t="str">
        <x:v>480p</x:v>
      </x:c>
      <x:c r="E309" s="5" t="str">
        <x:v>—</x:v>
      </x:c>
      <x:c r="F309" s="5" t="n">
        <x:v>12</x:v>
      </x:c>
      <x:c r="G309" s="5" t="str">
        <x:v>выключен</x:v>
      </x:c>
      <x:c r="H309" s="5" t="str">
        <x:v>Без исходного файла</x:v>
      </x:c>
      <x:c r="I309" s="6" t="n">
        <x:v>23.16</x:v>
      </x:c>
      <x:c r="J309" s="6" t="n">
        <x:v>23.16</x:v>
      </x:c>
      <x:c r="K309" s="5" t="str">
        <x:v>Точная цена в редакторе</x:v>
      </x:c>
      <x:c r="L309" s="5" t="str">
        <x:v>видео</x:v>
      </x:c>
      <x:c r="M309" s="7" t="n">
        <x:f>IF(J309="","",ROUND(J309*Tariffs!$D$5,2))</x:f>
        <x:v>19.26</x:v>
      </x:c>
      <x:c r="N309" s="7" t="n">
        <x:f>IF(J309="","",ROUND(J309*Tariffs!$D$6,2))</x:f>
        <x:v>19.28</x:v>
      </x:c>
      <x:c r="O309" s="7" t="n">
        <x:f>IF(J309="","",ROUND(J309*Tariffs!$D$7,2))</x:f>
        <x:v>19.3</x:v>
      </x:c>
      <x:c r="P309" s="5" t="str">
        <x:v>https://neuromia.ru/app/video/seedance</x:v>
      </x:c>
      <x:c r="Q309" s="8" t="n">
        <x:v>46282.375</x:v>
      </x:c>
      <x:c r="R309" s="5" t="str"/>
    </x:row>
    <x:row r="310" ht="22" customHeight="1">
      <x:c r="A310" s="5" t="str">
        <x:v>Видео</x:v>
      </x:c>
      <x:c r="B310" s="5" t="str">
        <x:v>Seedance 1.5 Pro</x:v>
      </x:c>
      <x:c r="C310" s="5" t="str">
        <x:v>Текст → видео</x:v>
      </x:c>
      <x:c r="D310" s="5" t="str">
        <x:v>720p</x:v>
      </x:c>
      <x:c r="E310" s="5" t="str">
        <x:v>—</x:v>
      </x:c>
      <x:c r="F310" s="5" t="n">
        <x:v>4</x:v>
      </x:c>
      <x:c r="G310" s="5" t="str">
        <x:v>включен</x:v>
      </x:c>
      <x:c r="H310" s="5" t="str">
        <x:v>Без исходного файла</x:v>
      </x:c>
      <x:c r="I310" s="6" t="n">
        <x:v>30.8</x:v>
      </x:c>
      <x:c r="J310" s="6" t="n">
        <x:v>30.8</x:v>
      </x:c>
      <x:c r="K310" s="5" t="str">
        <x:v>Точная цена в редакторе</x:v>
      </x:c>
      <x:c r="L310" s="5" t="str">
        <x:v>видео</x:v>
      </x:c>
      <x:c r="M310" s="7" t="n">
        <x:f>IF(J310="","",ROUND(J310*Tariffs!$D$5,2))</x:f>
        <x:v>25.62</x:v>
      </x:c>
      <x:c r="N310" s="7" t="n">
        <x:f>IF(J310="","",ROUND(J310*Tariffs!$D$6,2))</x:f>
        <x:v>25.64</x:v>
      </x:c>
      <x:c r="O310" s="7" t="n">
        <x:f>IF(J310="","",ROUND(J310*Tariffs!$D$7,2))</x:f>
        <x:v>25.66</x:v>
      </x:c>
      <x:c r="P310" s="5" t="str">
        <x:v>https://neuromia.ru/app/video/seedance</x:v>
      </x:c>
      <x:c r="Q310" s="8" t="n">
        <x:v>46282.375</x:v>
      </x:c>
      <x:c r="R310" s="5" t="str"/>
    </x:row>
    <x:row r="311" ht="22" customHeight="1">
      <x:c r="A311" s="5" t="str">
        <x:v>Видео</x:v>
      </x:c>
      <x:c r="B311" s="5" t="str">
        <x:v>Seedance 1.5 Pro</x:v>
      </x:c>
      <x:c r="C311" s="5" t="str">
        <x:v>Текст → видео</x:v>
      </x:c>
      <x:c r="D311" s="5" t="str">
        <x:v>720p</x:v>
      </x:c>
      <x:c r="E311" s="5" t="str">
        <x:v>—</x:v>
      </x:c>
      <x:c r="F311" s="5" t="n">
        <x:v>8</x:v>
      </x:c>
      <x:c r="G311" s="5" t="str">
        <x:v>включен</x:v>
      </x:c>
      <x:c r="H311" s="5" t="str">
        <x:v>Без исходного файла</x:v>
      </x:c>
      <x:c r="I311" s="6" t="n">
        <x:v>61.6</x:v>
      </x:c>
      <x:c r="J311" s="6" t="n">
        <x:v>61.6</x:v>
      </x:c>
      <x:c r="K311" s="5" t="str">
        <x:v>Точная цена в редакторе</x:v>
      </x:c>
      <x:c r="L311" s="5" t="str">
        <x:v>видео</x:v>
      </x:c>
      <x:c r="M311" s="7" t="n">
        <x:f>IF(J311="","",ROUND(J311*Tariffs!$D$5,2))</x:f>
        <x:v>51.23</x:v>
      </x:c>
      <x:c r="N311" s="7" t="n">
        <x:f>IF(J311="","",ROUND(J311*Tariffs!$D$6,2))</x:f>
        <x:v>51.28</x:v>
      </x:c>
      <x:c r="O311" s="7" t="n">
        <x:f>IF(J311="","",ROUND(J311*Tariffs!$D$7,2))</x:f>
        <x:v>51.32</x:v>
      </x:c>
      <x:c r="P311" s="5" t="str">
        <x:v>https://neuromia.ru/app/video/seedance</x:v>
      </x:c>
      <x:c r="Q311" s="8" t="n">
        <x:v>46282.375</x:v>
      </x:c>
      <x:c r="R311" s="5" t="str"/>
    </x:row>
    <x:row r="312" ht="22" customHeight="1">
      <x:c r="A312" s="5" t="str">
        <x:v>Видео</x:v>
      </x:c>
      <x:c r="B312" s="5" t="str">
        <x:v>Seedance 1.5 Pro</x:v>
      </x:c>
      <x:c r="C312" s="5" t="str">
        <x:v>Текст → видео</x:v>
      </x:c>
      <x:c r="D312" s="5" t="str">
        <x:v>720p</x:v>
      </x:c>
      <x:c r="E312" s="5" t="str">
        <x:v>—</x:v>
      </x:c>
      <x:c r="F312" s="5" t="n">
        <x:v>12</x:v>
      </x:c>
      <x:c r="G312" s="5" t="str">
        <x:v>включен</x:v>
      </x:c>
      <x:c r="H312" s="5" t="str">
        <x:v>Без исходного файла</x:v>
      </x:c>
      <x:c r="I312" s="6" t="n">
        <x:v>92.4</x:v>
      </x:c>
      <x:c r="J312" s="6" t="n">
        <x:v>92.4</x:v>
      </x:c>
      <x:c r="K312" s="5" t="str">
        <x:v>Точная цена в редакторе</x:v>
      </x:c>
      <x:c r="L312" s="5" t="str">
        <x:v>видео</x:v>
      </x:c>
      <x:c r="M312" s="7" t="n">
        <x:f>IF(J312="","",ROUND(J312*Tariffs!$D$5,2))</x:f>
        <x:v>76.85</x:v>
      </x:c>
      <x:c r="N312" s="7" t="n">
        <x:f>IF(J312="","",ROUND(J312*Tariffs!$D$6,2))</x:f>
        <x:v>76.92</x:v>
      </x:c>
      <x:c r="O312" s="7" t="n">
        <x:f>IF(J312="","",ROUND(J312*Tariffs!$D$7,2))</x:f>
        <x:v>76.98</x:v>
      </x:c>
      <x:c r="P312" s="5" t="str">
        <x:v>https://neuromia.ru/app/video/seedance</x:v>
      </x:c>
      <x:c r="Q312" s="8" t="n">
        <x:v>46282.375</x:v>
      </x:c>
      <x:c r="R312" s="5" t="str"/>
    </x:row>
    <x:row r="313" ht="22" customHeight="1">
      <x:c r="A313" s="5" t="str">
        <x:v>Видео</x:v>
      </x:c>
      <x:c r="B313" s="5" t="str">
        <x:v>Seedance 1.5 Pro</x:v>
      </x:c>
      <x:c r="C313" s="5" t="str">
        <x:v>Текст → видео</x:v>
      </x:c>
      <x:c r="D313" s="5" t="str">
        <x:v>720p</x:v>
      </x:c>
      <x:c r="E313" s="5" t="str">
        <x:v>—</x:v>
      </x:c>
      <x:c r="F313" s="5" t="n">
        <x:v>4</x:v>
      </x:c>
      <x:c r="G313" s="5" t="str">
        <x:v>выключен</x:v>
      </x:c>
      <x:c r="H313" s="5" t="str">
        <x:v>Без исходного файла</x:v>
      </x:c>
      <x:c r="I313" s="6" t="n">
        <x:v>15.4</x:v>
      </x:c>
      <x:c r="J313" s="6" t="n">
        <x:v>15.4</x:v>
      </x:c>
      <x:c r="K313" s="5" t="str">
        <x:v>Точная цена в редакторе</x:v>
      </x:c>
      <x:c r="L313" s="5" t="str">
        <x:v>видео</x:v>
      </x:c>
      <x:c r="M313" s="7" t="n">
        <x:f>IF(J313="","",ROUND(J313*Tariffs!$D$5,2))</x:f>
        <x:v>12.81</x:v>
      </x:c>
      <x:c r="N313" s="7" t="n">
        <x:f>IF(J313="","",ROUND(J313*Tariffs!$D$6,2))</x:f>
        <x:v>12.82</x:v>
      </x:c>
      <x:c r="O313" s="7" t="n">
        <x:f>IF(J313="","",ROUND(J313*Tariffs!$D$7,2))</x:f>
        <x:v>12.83</x:v>
      </x:c>
      <x:c r="P313" s="5" t="str">
        <x:v>https://neuromia.ru/app/video/seedance</x:v>
      </x:c>
      <x:c r="Q313" s="8" t="n">
        <x:v>46282.375</x:v>
      </x:c>
      <x:c r="R313" s="5" t="str"/>
    </x:row>
    <x:row r="314" ht="22" customHeight="1">
      <x:c r="A314" s="5" t="str">
        <x:v>Видео</x:v>
      </x:c>
      <x:c r="B314" s="5" t="str">
        <x:v>Seedance 1.5 Pro</x:v>
      </x:c>
      <x:c r="C314" s="5" t="str">
        <x:v>Текст → видео</x:v>
      </x:c>
      <x:c r="D314" s="5" t="str">
        <x:v>720p</x:v>
      </x:c>
      <x:c r="E314" s="5" t="str">
        <x:v>—</x:v>
      </x:c>
      <x:c r="F314" s="5" t="n">
        <x:v>8</x:v>
      </x:c>
      <x:c r="G314" s="5" t="str">
        <x:v>выключен</x:v>
      </x:c>
      <x:c r="H314" s="5" t="str">
        <x:v>Без исходного файла</x:v>
      </x:c>
      <x:c r="I314" s="6" t="n">
        <x:v>30.8</x:v>
      </x:c>
      <x:c r="J314" s="6" t="n">
        <x:v>30.8</x:v>
      </x:c>
      <x:c r="K314" s="5" t="str">
        <x:v>Точная цена в редакторе</x:v>
      </x:c>
      <x:c r="L314" s="5" t="str">
        <x:v>видео</x:v>
      </x:c>
      <x:c r="M314" s="7" t="n">
        <x:f>IF(J314="","",ROUND(J314*Tariffs!$D$5,2))</x:f>
        <x:v>25.62</x:v>
      </x:c>
      <x:c r="N314" s="7" t="n">
        <x:f>IF(J314="","",ROUND(J314*Tariffs!$D$6,2))</x:f>
        <x:v>25.64</x:v>
      </x:c>
      <x:c r="O314" s="7" t="n">
        <x:f>IF(J314="","",ROUND(J314*Tariffs!$D$7,2))</x:f>
        <x:v>25.66</x:v>
      </x:c>
      <x:c r="P314" s="5" t="str">
        <x:v>https://neuromia.ru/app/video/seedance</x:v>
      </x:c>
      <x:c r="Q314" s="8" t="n">
        <x:v>46282.375</x:v>
      </x:c>
      <x:c r="R314" s="5" t="str"/>
    </x:row>
    <x:row r="315" ht="22" customHeight="1">
      <x:c r="A315" s="5" t="str">
        <x:v>Видео</x:v>
      </x:c>
      <x:c r="B315" s="5" t="str">
        <x:v>Seedance 1.5 Pro</x:v>
      </x:c>
      <x:c r="C315" s="5" t="str">
        <x:v>Текст → видео</x:v>
      </x:c>
      <x:c r="D315" s="5" t="str">
        <x:v>720p</x:v>
      </x:c>
      <x:c r="E315" s="5" t="str">
        <x:v>—</x:v>
      </x:c>
      <x:c r="F315" s="5" t="n">
        <x:v>12</x:v>
      </x:c>
      <x:c r="G315" s="5" t="str">
        <x:v>выключен</x:v>
      </x:c>
      <x:c r="H315" s="5" t="str">
        <x:v>Без исходного файла</x:v>
      </x:c>
      <x:c r="I315" s="6" t="n">
        <x:v>46.2</x:v>
      </x:c>
      <x:c r="J315" s="6" t="n">
        <x:v>46.2</x:v>
      </x:c>
      <x:c r="K315" s="5" t="str">
        <x:v>Точная цена в редакторе</x:v>
      </x:c>
      <x:c r="L315" s="5" t="str">
        <x:v>видео</x:v>
      </x:c>
      <x:c r="M315" s="7" t="n">
        <x:f>IF(J315="","",ROUND(J315*Tariffs!$D$5,2))</x:f>
        <x:v>38.42</x:v>
      </x:c>
      <x:c r="N315" s="7" t="n">
        <x:f>IF(J315="","",ROUND(J315*Tariffs!$D$6,2))</x:f>
        <x:v>38.46</x:v>
      </x:c>
      <x:c r="O315" s="7" t="n">
        <x:f>IF(J315="","",ROUND(J315*Tariffs!$D$7,2))</x:f>
        <x:v>38.49</x:v>
      </x:c>
      <x:c r="P315" s="5" t="str">
        <x:v>https://neuromia.ru/app/video/seedance</x:v>
      </x:c>
      <x:c r="Q315" s="8" t="n">
        <x:v>46282.375</x:v>
      </x:c>
      <x:c r="R315" s="5" t="str"/>
    </x:row>
    <x:row r="316" ht="22" customHeight="1">
      <x:c r="A316" s="5" t="str">
        <x:v>Видео</x:v>
      </x:c>
      <x:c r="B316" s="5" t="str">
        <x:v>Seedance 1.5 Pro</x:v>
      </x:c>
      <x:c r="C316" s="5" t="str">
        <x:v>Текст → видео</x:v>
      </x:c>
      <x:c r="D316" s="5" t="str">
        <x:v>1080p</x:v>
      </x:c>
      <x:c r="E316" s="5" t="str">
        <x:v>—</x:v>
      </x:c>
      <x:c r="F316" s="5" t="n">
        <x:v>4</x:v>
      </x:c>
      <x:c r="G316" s="5" t="str">
        <x:v>включен</x:v>
      </x:c>
      <x:c r="H316" s="5" t="str">
        <x:v>Без исходного файла</x:v>
      </x:c>
      <x:c r="I316" s="6" t="n">
        <x:v>66</x:v>
      </x:c>
      <x:c r="J316" s="6" t="n">
        <x:v>66</x:v>
      </x:c>
      <x:c r="K316" s="5" t="str">
        <x:v>Точная цена в редакторе</x:v>
      </x:c>
      <x:c r="L316" s="5" t="str">
        <x:v>видео</x:v>
      </x:c>
      <x:c r="M316" s="7" t="n">
        <x:f>IF(J316="","",ROUND(J316*Tariffs!$D$5,2))</x:f>
        <x:v>54.89</x:v>
      </x:c>
      <x:c r="N316" s="7" t="n">
        <x:f>IF(J316="","",ROUND(J316*Tariffs!$D$6,2))</x:f>
        <x:v>54.95</x:v>
      </x:c>
      <x:c r="O316" s="7" t="n">
        <x:f>IF(J316="","",ROUND(J316*Tariffs!$D$7,2))</x:f>
        <x:v>54.99</x:v>
      </x:c>
      <x:c r="P316" s="5" t="str">
        <x:v>https://neuromia.ru/app/video/seedance</x:v>
      </x:c>
      <x:c r="Q316" s="8" t="n">
        <x:v>46282.375</x:v>
      </x:c>
      <x:c r="R316" s="5" t="str"/>
    </x:row>
    <x:row r="317" ht="22" customHeight="1">
      <x:c r="A317" s="5" t="str">
        <x:v>Видео</x:v>
      </x:c>
      <x:c r="B317" s="5" t="str">
        <x:v>Seedance 1.5 Pro</x:v>
      </x:c>
      <x:c r="C317" s="5" t="str">
        <x:v>Текст → видео</x:v>
      </x:c>
      <x:c r="D317" s="5" t="str">
        <x:v>1080p</x:v>
      </x:c>
      <x:c r="E317" s="5" t="str">
        <x:v>—</x:v>
      </x:c>
      <x:c r="F317" s="5" t="n">
        <x:v>8</x:v>
      </x:c>
      <x:c r="G317" s="5" t="str">
        <x:v>включен</x:v>
      </x:c>
      <x:c r="H317" s="5" t="str">
        <x:v>Без исходного файла</x:v>
      </x:c>
      <x:c r="I317" s="6" t="n">
        <x:v>132</x:v>
      </x:c>
      <x:c r="J317" s="6" t="n">
        <x:v>132</x:v>
      </x:c>
      <x:c r="K317" s="5" t="str">
        <x:v>Точная цена в редакторе</x:v>
      </x:c>
      <x:c r="L317" s="5" t="str">
        <x:v>видео</x:v>
      </x:c>
      <x:c r="M317" s="7" t="n">
        <x:f>IF(J317="","",ROUND(J317*Tariffs!$D$5,2))</x:f>
        <x:v>109.78</x:v>
      </x:c>
      <x:c r="N317" s="7" t="n">
        <x:f>IF(J317="","",ROUND(J317*Tariffs!$D$6,2))</x:f>
        <x:v>109.89</x:v>
      </x:c>
      <x:c r="O317" s="7" t="n">
        <x:f>IF(J317="","",ROUND(J317*Tariffs!$D$7,2))</x:f>
        <x:v>109.98</x:v>
      </x:c>
      <x:c r="P317" s="5" t="str">
        <x:v>https://neuromia.ru/app/video/seedance</x:v>
      </x:c>
      <x:c r="Q317" s="8" t="n">
        <x:v>46282.375</x:v>
      </x:c>
      <x:c r="R317" s="5" t="str"/>
    </x:row>
    <x:row r="318" ht="22" customHeight="1">
      <x:c r="A318" s="5" t="str">
        <x:v>Видео</x:v>
      </x:c>
      <x:c r="B318" s="5" t="str">
        <x:v>Seedance 1.5 Pro</x:v>
      </x:c>
      <x:c r="C318" s="5" t="str">
        <x:v>Текст → видео</x:v>
      </x:c>
      <x:c r="D318" s="5" t="str">
        <x:v>1080p</x:v>
      </x:c>
      <x:c r="E318" s="5" t="str">
        <x:v>—</x:v>
      </x:c>
      <x:c r="F318" s="5" t="n">
        <x:v>12</x:v>
      </x:c>
      <x:c r="G318" s="5" t="str">
        <x:v>включен</x:v>
      </x:c>
      <x:c r="H318" s="5" t="str">
        <x:v>Без исходного файла</x:v>
      </x:c>
      <x:c r="I318" s="6" t="n">
        <x:v>198</x:v>
      </x:c>
      <x:c r="J318" s="6" t="n">
        <x:v>198</x:v>
      </x:c>
      <x:c r="K318" s="5" t="str">
        <x:v>Точная цена в редакторе</x:v>
      </x:c>
      <x:c r="L318" s="5" t="str">
        <x:v>видео</x:v>
      </x:c>
      <x:c r="M318" s="7" t="n">
        <x:f>IF(J318="","",ROUND(J318*Tariffs!$D$5,2))</x:f>
        <x:v>164.67</x:v>
      </x:c>
      <x:c r="N318" s="7" t="n">
        <x:f>IF(J318="","",ROUND(J318*Tariffs!$D$6,2))</x:f>
        <x:v>164.84</x:v>
      </x:c>
      <x:c r="O318" s="7" t="n">
        <x:f>IF(J318="","",ROUND(J318*Tariffs!$D$7,2))</x:f>
        <x:v>164.97</x:v>
      </x:c>
      <x:c r="P318" s="5" t="str">
        <x:v>https://neuromia.ru/app/video/seedance</x:v>
      </x:c>
      <x:c r="Q318" s="8" t="n">
        <x:v>46282.375</x:v>
      </x:c>
      <x:c r="R318" s="5" t="str"/>
    </x:row>
    <x:row r="319" ht="22" customHeight="1">
      <x:c r="A319" s="5" t="str">
        <x:v>Видео</x:v>
      </x:c>
      <x:c r="B319" s="5" t="str">
        <x:v>Seedance 1.5 Pro</x:v>
      </x:c>
      <x:c r="C319" s="5" t="str">
        <x:v>Текст → видео</x:v>
      </x:c>
      <x:c r="D319" s="5" t="str">
        <x:v>1080p</x:v>
      </x:c>
      <x:c r="E319" s="5" t="str">
        <x:v>—</x:v>
      </x:c>
      <x:c r="F319" s="5" t="n">
        <x:v>4</x:v>
      </x:c>
      <x:c r="G319" s="5" t="str">
        <x:v>выключен</x:v>
      </x:c>
      <x:c r="H319" s="5" t="str">
        <x:v>Без исходного файла</x:v>
      </x:c>
      <x:c r="I319" s="6" t="n">
        <x:v>33</x:v>
      </x:c>
      <x:c r="J319" s="6" t="n">
        <x:v>33</x:v>
      </x:c>
      <x:c r="K319" s="5" t="str">
        <x:v>Точная цена в редакторе</x:v>
      </x:c>
      <x:c r="L319" s="5" t="str">
        <x:v>видео</x:v>
      </x:c>
      <x:c r="M319" s="7" t="n">
        <x:f>IF(J319="","",ROUND(J319*Tariffs!$D$5,2))</x:f>
        <x:v>27.45</x:v>
      </x:c>
      <x:c r="N319" s="7" t="n">
        <x:f>IF(J319="","",ROUND(J319*Tariffs!$D$6,2))</x:f>
        <x:v>27.47</x:v>
      </x:c>
      <x:c r="O319" s="7" t="n">
        <x:f>IF(J319="","",ROUND(J319*Tariffs!$D$7,2))</x:f>
        <x:v>27.49</x:v>
      </x:c>
      <x:c r="P319" s="5" t="str">
        <x:v>https://neuromia.ru/app/video/seedance</x:v>
      </x:c>
      <x:c r="Q319" s="8" t="n">
        <x:v>46282.375</x:v>
      </x:c>
      <x:c r="R319" s="5" t="str"/>
    </x:row>
    <x:row r="320" ht="22" customHeight="1">
      <x:c r="A320" s="5" t="str">
        <x:v>Видео</x:v>
      </x:c>
      <x:c r="B320" s="5" t="str">
        <x:v>Seedance 1.5 Pro</x:v>
      </x:c>
      <x:c r="C320" s="5" t="str">
        <x:v>Текст → видео</x:v>
      </x:c>
      <x:c r="D320" s="5" t="str">
        <x:v>1080p</x:v>
      </x:c>
      <x:c r="E320" s="5" t="str">
        <x:v>—</x:v>
      </x:c>
      <x:c r="F320" s="5" t="n">
        <x:v>8</x:v>
      </x:c>
      <x:c r="G320" s="5" t="str">
        <x:v>выключен</x:v>
      </x:c>
      <x:c r="H320" s="5" t="str">
        <x:v>Без исходного файла</x:v>
      </x:c>
      <x:c r="I320" s="6" t="n">
        <x:v>66</x:v>
      </x:c>
      <x:c r="J320" s="6" t="n">
        <x:v>66</x:v>
      </x:c>
      <x:c r="K320" s="5" t="str">
        <x:v>Точная цена в редакторе</x:v>
      </x:c>
      <x:c r="L320" s="5" t="str">
        <x:v>видео</x:v>
      </x:c>
      <x:c r="M320" s="7" t="n">
        <x:f>IF(J320="","",ROUND(J320*Tariffs!$D$5,2))</x:f>
        <x:v>54.89</x:v>
      </x:c>
      <x:c r="N320" s="7" t="n">
        <x:f>IF(J320="","",ROUND(J320*Tariffs!$D$6,2))</x:f>
        <x:v>54.95</x:v>
      </x:c>
      <x:c r="O320" s="7" t="n">
        <x:f>IF(J320="","",ROUND(J320*Tariffs!$D$7,2))</x:f>
        <x:v>54.99</x:v>
      </x:c>
      <x:c r="P320" s="5" t="str">
        <x:v>https://neuromia.ru/app/video/seedance</x:v>
      </x:c>
      <x:c r="Q320" s="8" t="n">
        <x:v>46282.375</x:v>
      </x:c>
      <x:c r="R320" s="5" t="str"/>
    </x:row>
    <x:row r="321" ht="22" customHeight="1">
      <x:c r="A321" s="5" t="str">
        <x:v>Видео</x:v>
      </x:c>
      <x:c r="B321" s="5" t="str">
        <x:v>Seedance 1.5 Pro</x:v>
      </x:c>
      <x:c r="C321" s="5" t="str">
        <x:v>Текст → видео</x:v>
      </x:c>
      <x:c r="D321" s="5" t="str">
        <x:v>1080p</x:v>
      </x:c>
      <x:c r="E321" s="5" t="str">
        <x:v>—</x:v>
      </x:c>
      <x:c r="F321" s="5" t="n">
        <x:v>12</x:v>
      </x:c>
      <x:c r="G321" s="5" t="str">
        <x:v>выключен</x:v>
      </x:c>
      <x:c r="H321" s="5" t="str">
        <x:v>Без исходного файла</x:v>
      </x:c>
      <x:c r="I321" s="6" t="n">
        <x:v>99</x:v>
      </x:c>
      <x:c r="J321" s="6" t="n">
        <x:v>99</x:v>
      </x:c>
      <x:c r="K321" s="5" t="str">
        <x:v>Точная цена в редакторе</x:v>
      </x:c>
      <x:c r="L321" s="5" t="str">
        <x:v>видео</x:v>
      </x:c>
      <x:c r="M321" s="7" t="n">
        <x:f>IF(J321="","",ROUND(J321*Tariffs!$D$5,2))</x:f>
        <x:v>82.34</x:v>
      </x:c>
      <x:c r="N321" s="7" t="n">
        <x:f>IF(J321="","",ROUND(J321*Tariffs!$D$6,2))</x:f>
        <x:v>82.42</x:v>
      </x:c>
      <x:c r="O321" s="7" t="n">
        <x:f>IF(J321="","",ROUND(J321*Tariffs!$D$7,2))</x:f>
        <x:v>82.48</x:v>
      </x:c>
      <x:c r="P321" s="5" t="str">
        <x:v>https://neuromia.ru/app/video/seedance</x:v>
      </x:c>
      <x:c r="Q321" s="8" t="n">
        <x:v>46282.375</x:v>
      </x:c>
      <x:c r="R321" s="5" t="str"/>
    </x:row>
    <x:row r="322" ht="22" customHeight="1">
      <x:c r="A322" s="5" t="str">
        <x:v>Видео</x:v>
      </x:c>
      <x:c r="B322" s="5" t="str">
        <x:v>Seedance V1 Pro</x:v>
      </x:c>
      <x:c r="C322" s="5" t="str">
        <x:v>Текст → видео</x:v>
      </x:c>
      <x:c r="D322" s="5" t="str">
        <x:v>480p</x:v>
      </x:c>
      <x:c r="E322" s="5" t="str">
        <x:v>—</x:v>
      </x:c>
      <x:c r="F322" s="5" t="n">
        <x:v>5</x:v>
      </x:c>
      <x:c r="G322" s="5" t="str">
        <x:v>—</x:v>
      </x:c>
      <x:c r="H322" s="5" t="str">
        <x:v>Без исходного файла</x:v>
      </x:c>
      <x:c r="I322" s="6" t="n">
        <x:v>15.4</x:v>
      </x:c>
      <x:c r="J322" s="6" t="n">
        <x:v>15.4</x:v>
      </x:c>
      <x:c r="K322" s="5" t="str">
        <x:v>Точная цена в редакторе</x:v>
      </x:c>
      <x:c r="L322" s="5" t="str">
        <x:v>видео</x:v>
      </x:c>
      <x:c r="M322" s="7" t="n">
        <x:f>IF(J322="","",ROUND(J322*Tariffs!$D$5,2))</x:f>
        <x:v>12.81</x:v>
      </x:c>
      <x:c r="N322" s="7" t="n">
        <x:f>IF(J322="","",ROUND(J322*Tariffs!$D$6,2))</x:f>
        <x:v>12.82</x:v>
      </x:c>
      <x:c r="O322" s="7" t="n">
        <x:f>IF(J322="","",ROUND(J322*Tariffs!$D$7,2))</x:f>
        <x:v>12.83</x:v>
      </x:c>
      <x:c r="P322" s="5" t="str">
        <x:v>https://neuromia.ru/app/video/seedance</x:v>
      </x:c>
      <x:c r="Q322" s="8" t="n">
        <x:v>46282.375</x:v>
      </x:c>
      <x:c r="R322" s="5" t="str"/>
    </x:row>
    <x:row r="323" ht="22" customHeight="1">
      <x:c r="A323" s="5" t="str">
        <x:v>Видео</x:v>
      </x:c>
      <x:c r="B323" s="5" t="str">
        <x:v>Seedance V1 Pro</x:v>
      </x:c>
      <x:c r="C323" s="5" t="str">
        <x:v>Текст → видео</x:v>
      </x:c>
      <x:c r="D323" s="5" t="str">
        <x:v>480p</x:v>
      </x:c>
      <x:c r="E323" s="5" t="str">
        <x:v>—</x:v>
      </x:c>
      <x:c r="F323" s="5" t="n">
        <x:v>10</x:v>
      </x:c>
      <x:c r="G323" s="5" t="str">
        <x:v>—</x:v>
      </x:c>
      <x:c r="H323" s="5" t="str">
        <x:v>Без исходного файла</x:v>
      </x:c>
      <x:c r="I323" s="6" t="n">
        <x:v>30.8</x:v>
      </x:c>
      <x:c r="J323" s="6" t="n">
        <x:v>30.8</x:v>
      </x:c>
      <x:c r="K323" s="5" t="str">
        <x:v>Точная цена в редакторе</x:v>
      </x:c>
      <x:c r="L323" s="5" t="str">
        <x:v>видео</x:v>
      </x:c>
      <x:c r="M323" s="7" t="n">
        <x:f>IF(J323="","",ROUND(J323*Tariffs!$D$5,2))</x:f>
        <x:v>25.62</x:v>
      </x:c>
      <x:c r="N323" s="7" t="n">
        <x:f>IF(J323="","",ROUND(J323*Tariffs!$D$6,2))</x:f>
        <x:v>25.64</x:v>
      </x:c>
      <x:c r="O323" s="7" t="n">
        <x:f>IF(J323="","",ROUND(J323*Tariffs!$D$7,2))</x:f>
        <x:v>25.66</x:v>
      </x:c>
      <x:c r="P323" s="5" t="str">
        <x:v>https://neuromia.ru/app/video/seedance</x:v>
      </x:c>
      <x:c r="Q323" s="8" t="n">
        <x:v>46282.375</x:v>
      </x:c>
      <x:c r="R323" s="5" t="str"/>
    </x:row>
    <x:row r="324" ht="22" customHeight="1">
      <x:c r="A324" s="5" t="str">
        <x:v>Видео</x:v>
      </x:c>
      <x:c r="B324" s="5" t="str">
        <x:v>Seedance V1 Pro</x:v>
      </x:c>
      <x:c r="C324" s="5" t="str">
        <x:v>Текст → видео</x:v>
      </x:c>
      <x:c r="D324" s="5" t="str">
        <x:v>720p</x:v>
      </x:c>
      <x:c r="E324" s="5" t="str">
        <x:v>—</x:v>
      </x:c>
      <x:c r="F324" s="5" t="n">
        <x:v>5</x:v>
      </x:c>
      <x:c r="G324" s="5" t="str">
        <x:v>—</x:v>
      </x:c>
      <x:c r="H324" s="5" t="str">
        <x:v>Без исходного файла</x:v>
      </x:c>
      <x:c r="I324" s="6" t="n">
        <x:v>33</x:v>
      </x:c>
      <x:c r="J324" s="6" t="n">
        <x:v>33</x:v>
      </x:c>
      <x:c r="K324" s="5" t="str">
        <x:v>Точная цена в редакторе</x:v>
      </x:c>
      <x:c r="L324" s="5" t="str">
        <x:v>видео</x:v>
      </x:c>
      <x:c r="M324" s="7" t="n">
        <x:f>IF(J324="","",ROUND(J324*Tariffs!$D$5,2))</x:f>
        <x:v>27.45</x:v>
      </x:c>
      <x:c r="N324" s="7" t="n">
        <x:f>IF(J324="","",ROUND(J324*Tariffs!$D$6,2))</x:f>
        <x:v>27.47</x:v>
      </x:c>
      <x:c r="O324" s="7" t="n">
        <x:f>IF(J324="","",ROUND(J324*Tariffs!$D$7,2))</x:f>
        <x:v>27.49</x:v>
      </x:c>
      <x:c r="P324" s="5" t="str">
        <x:v>https://neuromia.ru/app/video/seedance</x:v>
      </x:c>
      <x:c r="Q324" s="8" t="n">
        <x:v>46282.375</x:v>
      </x:c>
      <x:c r="R324" s="5" t="str"/>
    </x:row>
    <x:row r="325" ht="22" customHeight="1">
      <x:c r="A325" s="5" t="str">
        <x:v>Видео</x:v>
      </x:c>
      <x:c r="B325" s="5" t="str">
        <x:v>Seedance V1 Pro</x:v>
      </x:c>
      <x:c r="C325" s="5" t="str">
        <x:v>Текст → видео</x:v>
      </x:c>
      <x:c r="D325" s="5" t="str">
        <x:v>720p</x:v>
      </x:c>
      <x:c r="E325" s="5" t="str">
        <x:v>—</x:v>
      </x:c>
      <x:c r="F325" s="5" t="n">
        <x:v>10</x:v>
      </x:c>
      <x:c r="G325" s="5" t="str">
        <x:v>—</x:v>
      </x:c>
      <x:c r="H325" s="5" t="str">
        <x:v>Без исходного файла</x:v>
      </x:c>
      <x:c r="I325" s="6" t="n">
        <x:v>66</x:v>
      </x:c>
      <x:c r="J325" s="6" t="n">
        <x:v>66</x:v>
      </x:c>
      <x:c r="K325" s="5" t="str">
        <x:v>Точная цена в редакторе</x:v>
      </x:c>
      <x:c r="L325" s="5" t="str">
        <x:v>видео</x:v>
      </x:c>
      <x:c r="M325" s="7" t="n">
        <x:f>IF(J325="","",ROUND(J325*Tariffs!$D$5,2))</x:f>
        <x:v>54.89</x:v>
      </x:c>
      <x:c r="N325" s="7" t="n">
        <x:f>IF(J325="","",ROUND(J325*Tariffs!$D$6,2))</x:f>
        <x:v>54.95</x:v>
      </x:c>
      <x:c r="O325" s="7" t="n">
        <x:f>IF(J325="","",ROUND(J325*Tariffs!$D$7,2))</x:f>
        <x:v>54.99</x:v>
      </x:c>
      <x:c r="P325" s="5" t="str">
        <x:v>https://neuromia.ru/app/video/seedance</x:v>
      </x:c>
      <x:c r="Q325" s="8" t="n">
        <x:v>46282.375</x:v>
      </x:c>
      <x:c r="R325" s="5" t="str"/>
    </x:row>
    <x:row r="326" ht="22" customHeight="1">
      <x:c r="A326" s="5" t="str">
        <x:v>Видео</x:v>
      </x:c>
      <x:c r="B326" s="5" t="str">
        <x:v>Seedance V1 Pro</x:v>
      </x:c>
      <x:c r="C326" s="5" t="str">
        <x:v>Текст → видео</x:v>
      </x:c>
      <x:c r="D326" s="5" t="str">
        <x:v>1080p</x:v>
      </x:c>
      <x:c r="E326" s="5" t="str">
        <x:v>—</x:v>
      </x:c>
      <x:c r="F326" s="5" t="n">
        <x:v>5</x:v>
      </x:c>
      <x:c r="G326" s="5" t="str">
        <x:v>—</x:v>
      </x:c>
      <x:c r="H326" s="5" t="str">
        <x:v>Без исходного файла</x:v>
      </x:c>
      <x:c r="I326" s="6" t="n">
        <x:v>77</x:v>
      </x:c>
      <x:c r="J326" s="6" t="n">
        <x:v>77</x:v>
      </x:c>
      <x:c r="K326" s="5" t="str">
        <x:v>Точная цена в редакторе</x:v>
      </x:c>
      <x:c r="L326" s="5" t="str">
        <x:v>видео</x:v>
      </x:c>
      <x:c r="M326" s="7" t="n">
        <x:f>IF(J326="","",ROUND(J326*Tariffs!$D$5,2))</x:f>
        <x:v>64.04</x:v>
      </x:c>
      <x:c r="N326" s="7" t="n">
        <x:f>IF(J326="","",ROUND(J326*Tariffs!$D$6,2))</x:f>
        <x:v>64.1</x:v>
      </x:c>
      <x:c r="O326" s="7" t="n">
        <x:f>IF(J326="","",ROUND(J326*Tariffs!$D$7,2))</x:f>
        <x:v>64.15</x:v>
      </x:c>
      <x:c r="P326" s="5" t="str">
        <x:v>https://neuromia.ru/app/video/seedance</x:v>
      </x:c>
      <x:c r="Q326" s="8" t="n">
        <x:v>46282.375</x:v>
      </x:c>
      <x:c r="R326" s="5" t="str"/>
    </x:row>
    <x:row r="327" ht="22" customHeight="1">
      <x:c r="A327" s="5" t="str">
        <x:v>Видео</x:v>
      </x:c>
      <x:c r="B327" s="5" t="str">
        <x:v>Seedance V1 Pro</x:v>
      </x:c>
      <x:c r="C327" s="5" t="str">
        <x:v>Текст → видео</x:v>
      </x:c>
      <x:c r="D327" s="5" t="str">
        <x:v>1080p</x:v>
      </x:c>
      <x:c r="E327" s="5" t="str">
        <x:v>—</x:v>
      </x:c>
      <x:c r="F327" s="5" t="n">
        <x:v>10</x:v>
      </x:c>
      <x:c r="G327" s="5" t="str">
        <x:v>—</x:v>
      </x:c>
      <x:c r="H327" s="5" t="str">
        <x:v>Без исходного файла</x:v>
      </x:c>
      <x:c r="I327" s="6" t="n">
        <x:v>154</x:v>
      </x:c>
      <x:c r="J327" s="6" t="n">
        <x:v>154</x:v>
      </x:c>
      <x:c r="K327" s="5" t="str">
        <x:v>Точная цена в редакторе</x:v>
      </x:c>
      <x:c r="L327" s="5" t="str">
        <x:v>видео</x:v>
      </x:c>
      <x:c r="M327" s="7" t="n">
        <x:f>IF(J327="","",ROUND(J327*Tariffs!$D$5,2))</x:f>
        <x:v>128.08</x:v>
      </x:c>
      <x:c r="N327" s="7" t="n">
        <x:f>IF(J327="","",ROUND(J327*Tariffs!$D$6,2))</x:f>
        <x:v>128.21</x:v>
      </x:c>
      <x:c r="O327" s="7" t="n">
        <x:f>IF(J327="","",ROUND(J327*Tariffs!$D$7,2))</x:f>
        <x:v>128.31</x:v>
      </x:c>
      <x:c r="P327" s="5" t="str">
        <x:v>https://neuromia.ru/app/video/seedance</x:v>
      </x:c>
      <x:c r="Q327" s="8" t="n">
        <x:v>46282.375</x:v>
      </x:c>
      <x:c r="R327" s="5" t="str"/>
    </x:row>
    <x:row r="328" ht="22" customHeight="1">
      <x:c r="A328" s="5" t="str">
        <x:v>Видео</x:v>
      </x:c>
      <x:c r="B328" s="5" t="str">
        <x:v>Seedance V1 Lite</x:v>
      </x:c>
      <x:c r="C328" s="5" t="str">
        <x:v>Текст → видео</x:v>
      </x:c>
      <x:c r="D328" s="5" t="str">
        <x:v>480p</x:v>
      </x:c>
      <x:c r="E328" s="5" t="str">
        <x:v>—</x:v>
      </x:c>
      <x:c r="F328" s="5" t="n">
        <x:v>5</x:v>
      </x:c>
      <x:c r="G328" s="5" t="str">
        <x:v>—</x:v>
      </x:c>
      <x:c r="H328" s="5" t="str">
        <x:v>Без исходного файла</x:v>
      </x:c>
      <x:c r="I328" s="6" t="n">
        <x:v>11</x:v>
      </x:c>
      <x:c r="J328" s="6" t="n">
        <x:v>11</x:v>
      </x:c>
      <x:c r="K328" s="5" t="str">
        <x:v>Точная цена в редакторе</x:v>
      </x:c>
      <x:c r="L328" s="5" t="str">
        <x:v>видео</x:v>
      </x:c>
      <x:c r="M328" s="7" t="n">
        <x:f>IF(J328="","",ROUND(J328*Tariffs!$D$5,2))</x:f>
        <x:v>9.15</x:v>
      </x:c>
      <x:c r="N328" s="7" t="n">
        <x:f>IF(J328="","",ROUND(J328*Tariffs!$D$6,2))</x:f>
        <x:v>9.16</x:v>
      </x:c>
      <x:c r="O328" s="7" t="n">
        <x:f>IF(J328="","",ROUND(J328*Tariffs!$D$7,2))</x:f>
        <x:v>9.16</x:v>
      </x:c>
      <x:c r="P328" s="5" t="str">
        <x:v>https://neuromia.ru/app/video/seedance</x:v>
      </x:c>
      <x:c r="Q328" s="8" t="n">
        <x:v>46282.375</x:v>
      </x:c>
      <x:c r="R328" s="5" t="str"/>
    </x:row>
    <x:row r="329" ht="22" customHeight="1">
      <x:c r="A329" s="5" t="str">
        <x:v>Видео</x:v>
      </x:c>
      <x:c r="B329" s="5" t="str">
        <x:v>Seedance V1 Lite</x:v>
      </x:c>
      <x:c r="C329" s="5" t="str">
        <x:v>Текст → видео</x:v>
      </x:c>
      <x:c r="D329" s="5" t="str">
        <x:v>480p</x:v>
      </x:c>
      <x:c r="E329" s="5" t="str">
        <x:v>—</x:v>
      </x:c>
      <x:c r="F329" s="5" t="n">
        <x:v>10</x:v>
      </x:c>
      <x:c r="G329" s="5" t="str">
        <x:v>—</x:v>
      </x:c>
      <x:c r="H329" s="5" t="str">
        <x:v>Без исходного файла</x:v>
      </x:c>
      <x:c r="I329" s="6" t="n">
        <x:v>22</x:v>
      </x:c>
      <x:c r="J329" s="6" t="n">
        <x:v>22</x:v>
      </x:c>
      <x:c r="K329" s="5" t="str">
        <x:v>Точная цена в редакторе</x:v>
      </x:c>
      <x:c r="L329" s="5" t="str">
        <x:v>видео</x:v>
      </x:c>
      <x:c r="M329" s="7" t="n">
        <x:f>IF(J329="","",ROUND(J329*Tariffs!$D$5,2))</x:f>
        <x:v>18.3</x:v>
      </x:c>
      <x:c r="N329" s="7" t="n">
        <x:f>IF(J329="","",ROUND(J329*Tariffs!$D$6,2))</x:f>
        <x:v>18.32</x:v>
      </x:c>
      <x:c r="O329" s="7" t="n">
        <x:f>IF(J329="","",ROUND(J329*Tariffs!$D$7,2))</x:f>
        <x:v>18.33</x:v>
      </x:c>
      <x:c r="P329" s="5" t="str">
        <x:v>https://neuromia.ru/app/video/seedance</x:v>
      </x:c>
      <x:c r="Q329" s="8" t="n">
        <x:v>46282.375</x:v>
      </x:c>
      <x:c r="R329" s="5" t="str"/>
    </x:row>
    <x:row r="330" ht="22" customHeight="1">
      <x:c r="A330" s="5" t="str">
        <x:v>Видео</x:v>
      </x:c>
      <x:c r="B330" s="5" t="str">
        <x:v>Seedance V1 Lite</x:v>
      </x:c>
      <x:c r="C330" s="5" t="str">
        <x:v>Текст → видео</x:v>
      </x:c>
      <x:c r="D330" s="5" t="str">
        <x:v>720p</x:v>
      </x:c>
      <x:c r="E330" s="5" t="str">
        <x:v>—</x:v>
      </x:c>
      <x:c r="F330" s="5" t="n">
        <x:v>5</x:v>
      </x:c>
      <x:c r="G330" s="5" t="str">
        <x:v>—</x:v>
      </x:c>
      <x:c r="H330" s="5" t="str">
        <x:v>Без исходного файла</x:v>
      </x:c>
      <x:c r="I330" s="6" t="n">
        <x:v>24.75</x:v>
      </x:c>
      <x:c r="J330" s="6" t="n">
        <x:v>24.75</x:v>
      </x:c>
      <x:c r="K330" s="5" t="str">
        <x:v>Точная цена в редакторе</x:v>
      </x:c>
      <x:c r="L330" s="5" t="str">
        <x:v>видео</x:v>
      </x:c>
      <x:c r="M330" s="7" t="n">
        <x:f>IF(J330="","",ROUND(J330*Tariffs!$D$5,2))</x:f>
        <x:v>20.58</x:v>
      </x:c>
      <x:c r="N330" s="7" t="n">
        <x:f>IF(J330="","",ROUND(J330*Tariffs!$D$6,2))</x:f>
        <x:v>20.6</x:v>
      </x:c>
      <x:c r="O330" s="7" t="n">
        <x:f>IF(J330="","",ROUND(J330*Tariffs!$D$7,2))</x:f>
        <x:v>20.62</x:v>
      </x:c>
      <x:c r="P330" s="5" t="str">
        <x:v>https://neuromia.ru/app/video/seedance</x:v>
      </x:c>
      <x:c r="Q330" s="8" t="n">
        <x:v>46282.375</x:v>
      </x:c>
      <x:c r="R330" s="5" t="str"/>
    </x:row>
    <x:row r="331" ht="22" customHeight="1">
      <x:c r="A331" s="5" t="str">
        <x:v>Видео</x:v>
      </x:c>
      <x:c r="B331" s="5" t="str">
        <x:v>Seedance V1 Lite</x:v>
      </x:c>
      <x:c r="C331" s="5" t="str">
        <x:v>Текст → видео</x:v>
      </x:c>
      <x:c r="D331" s="5" t="str">
        <x:v>720p</x:v>
      </x:c>
      <x:c r="E331" s="5" t="str">
        <x:v>—</x:v>
      </x:c>
      <x:c r="F331" s="5" t="n">
        <x:v>10</x:v>
      </x:c>
      <x:c r="G331" s="5" t="str">
        <x:v>—</x:v>
      </x:c>
      <x:c r="H331" s="5" t="str">
        <x:v>Без исходного файла</x:v>
      </x:c>
      <x:c r="I331" s="6" t="n">
        <x:v>49.5</x:v>
      </x:c>
      <x:c r="J331" s="6" t="n">
        <x:v>49.5</x:v>
      </x:c>
      <x:c r="K331" s="5" t="str">
        <x:v>Точная цена в редакторе</x:v>
      </x:c>
      <x:c r="L331" s="5" t="str">
        <x:v>видео</x:v>
      </x:c>
      <x:c r="M331" s="7" t="n">
        <x:f>IF(J331="","",ROUND(J331*Tariffs!$D$5,2))</x:f>
        <x:v>41.17</x:v>
      </x:c>
      <x:c r="N331" s="7" t="n">
        <x:f>IF(J331="","",ROUND(J331*Tariffs!$D$6,2))</x:f>
        <x:v>41.21</x:v>
      </x:c>
      <x:c r="O331" s="7" t="n">
        <x:f>IF(J331="","",ROUND(J331*Tariffs!$D$7,2))</x:f>
        <x:v>41.24</x:v>
      </x:c>
      <x:c r="P331" s="5" t="str">
        <x:v>https://neuromia.ru/app/video/seedance</x:v>
      </x:c>
      <x:c r="Q331" s="8" t="n">
        <x:v>46282.375</x:v>
      </x:c>
      <x:c r="R331" s="5" t="str"/>
    </x:row>
    <x:row r="332" ht="22" customHeight="1">
      <x:c r="A332" s="5" t="str">
        <x:v>Видео</x:v>
      </x:c>
      <x:c r="B332" s="5" t="str">
        <x:v>Seedance V1 Lite</x:v>
      </x:c>
      <x:c r="C332" s="5" t="str">
        <x:v>Текст → видео</x:v>
      </x:c>
      <x:c r="D332" s="5" t="str">
        <x:v>1080p</x:v>
      </x:c>
      <x:c r="E332" s="5" t="str">
        <x:v>—</x:v>
      </x:c>
      <x:c r="F332" s="5" t="n">
        <x:v>5</x:v>
      </x:c>
      <x:c r="G332" s="5" t="str">
        <x:v>—</x:v>
      </x:c>
      <x:c r="H332" s="5" t="str">
        <x:v>Без исходного файла</x:v>
      </x:c>
      <x:c r="I332" s="6" t="n">
        <x:v>55</x:v>
      </x:c>
      <x:c r="J332" s="6" t="n">
        <x:v>55</x:v>
      </x:c>
      <x:c r="K332" s="5" t="str">
        <x:v>Точная цена в редакторе</x:v>
      </x:c>
      <x:c r="L332" s="5" t="str">
        <x:v>видео</x:v>
      </x:c>
      <x:c r="M332" s="7" t="n">
        <x:f>IF(J332="","",ROUND(J332*Tariffs!$D$5,2))</x:f>
        <x:v>45.74</x:v>
      </x:c>
      <x:c r="N332" s="7" t="n">
        <x:f>IF(J332="","",ROUND(J332*Tariffs!$D$6,2))</x:f>
        <x:v>45.79</x:v>
      </x:c>
      <x:c r="O332" s="7" t="n">
        <x:f>IF(J332="","",ROUND(J332*Tariffs!$D$7,2))</x:f>
        <x:v>45.82</x:v>
      </x:c>
      <x:c r="P332" s="5" t="str">
        <x:v>https://neuromia.ru/app/video/seedance</x:v>
      </x:c>
      <x:c r="Q332" s="8" t="n">
        <x:v>46282.375</x:v>
      </x:c>
      <x:c r="R332" s="5" t="str"/>
    </x:row>
    <x:row r="333" ht="22" customHeight="1">
      <x:c r="A333" s="5" t="str">
        <x:v>Видео</x:v>
      </x:c>
      <x:c r="B333" s="5" t="str">
        <x:v>Seedance V1 Lite</x:v>
      </x:c>
      <x:c r="C333" s="5" t="str">
        <x:v>Текст → видео</x:v>
      </x:c>
      <x:c r="D333" s="5" t="str">
        <x:v>1080p</x:v>
      </x:c>
      <x:c r="E333" s="5" t="str">
        <x:v>—</x:v>
      </x:c>
      <x:c r="F333" s="5" t="n">
        <x:v>10</x:v>
      </x:c>
      <x:c r="G333" s="5" t="str">
        <x:v>—</x:v>
      </x:c>
      <x:c r="H333" s="5" t="str">
        <x:v>Без исходного файла</x:v>
      </x:c>
      <x:c r="I333" s="6" t="n">
        <x:v>110</x:v>
      </x:c>
      <x:c r="J333" s="6" t="n">
        <x:v>110</x:v>
      </x:c>
      <x:c r="K333" s="5" t="str">
        <x:v>Точная цена в редакторе</x:v>
      </x:c>
      <x:c r="L333" s="5" t="str">
        <x:v>видео</x:v>
      </x:c>
      <x:c r="M333" s="7" t="n">
        <x:f>IF(J333="","",ROUND(J333*Tariffs!$D$5,2))</x:f>
        <x:v>91.48</x:v>
      </x:c>
      <x:c r="N333" s="7" t="n">
        <x:f>IF(J333="","",ROUND(J333*Tariffs!$D$6,2))</x:f>
        <x:v>91.58</x:v>
      </x:c>
      <x:c r="O333" s="7" t="n">
        <x:f>IF(J333="","",ROUND(J333*Tariffs!$D$7,2))</x:f>
        <x:v>91.65</x:v>
      </x:c>
      <x:c r="P333" s="5" t="str">
        <x:v>https://neuromia.ru/app/video/seedance</x:v>
      </x:c>
      <x:c r="Q333" s="8" t="n">
        <x:v>46282.375</x:v>
      </x:c>
      <x:c r="R333" s="5" t="str"/>
    </x:row>
    <x:row r="334" ht="22" customHeight="1">
      <x:c r="A334" s="5" t="str">
        <x:v>Видео</x:v>
      </x:c>
      <x:c r="B334" s="5" t="str">
        <x:v>Seedance V1 Pro Fast</x:v>
      </x:c>
      <x:c r="C334" s="5" t="str">
        <x:v>Фото → видео</x:v>
      </x:c>
      <x:c r="D334" s="5" t="str">
        <x:v>720p</x:v>
      </x:c>
      <x:c r="E334" s="5" t="str">
        <x:v>—</x:v>
      </x:c>
      <x:c r="F334" s="5" t="n">
        <x:v>5</x:v>
      </x:c>
      <x:c r="G334" s="5" t="str">
        <x:v>—</x:v>
      </x:c>
      <x:c r="H334" s="5" t="str">
        <x:v>Синтетическое тестовое фото и промпт</x:v>
      </x:c>
      <x:c r="I334" s="6" t="n">
        <x:v>17.6</x:v>
      </x:c>
      <x:c r="J334" s="6" t="n">
        <x:v>17.6</x:v>
      </x:c>
      <x:c r="K334" s="5" t="str">
        <x:v>Точная цена в редакторе</x:v>
      </x:c>
      <x:c r="L334" s="5" t="str">
        <x:v>видео</x:v>
      </x:c>
      <x:c r="M334" s="7" t="n">
        <x:f>IF(J334="","",ROUND(J334*Tariffs!$D$5,2))</x:f>
        <x:v>14.64</x:v>
      </x:c>
      <x:c r="N334" s="7" t="n">
        <x:f>IF(J334="","",ROUND(J334*Tariffs!$D$6,2))</x:f>
        <x:v>14.65</x:v>
      </x:c>
      <x:c r="O334" s="7" t="n">
        <x:f>IF(J334="","",ROUND(J334*Tariffs!$D$7,2))</x:f>
        <x:v>14.66</x:v>
      </x:c>
      <x:c r="P334" s="5" t="str">
        <x:v>https://neuromia.ru/app/video/seedance</x:v>
      </x:c>
      <x:c r="Q334" s="8" t="n">
        <x:v>46282.375</x:v>
      </x:c>
      <x:c r="R334" s="5" t="str">
        <x:v>Все четыре варианта повторно проверены после загрузки фото.</x:v>
      </x:c>
    </x:row>
    <x:row r="335" ht="22" customHeight="1">
      <x:c r="A335" s="5" t="str">
        <x:v>Видео</x:v>
      </x:c>
      <x:c r="B335" s="5" t="str">
        <x:v>Seedance V1 Pro Fast</x:v>
      </x:c>
      <x:c r="C335" s="5" t="str">
        <x:v>Фото → видео</x:v>
      </x:c>
      <x:c r="D335" s="5" t="str">
        <x:v>720p</x:v>
      </x:c>
      <x:c r="E335" s="5" t="str">
        <x:v>—</x:v>
      </x:c>
      <x:c r="F335" s="5" t="n">
        <x:v>10</x:v>
      </x:c>
      <x:c r="G335" s="5" t="str">
        <x:v>—</x:v>
      </x:c>
      <x:c r="H335" s="5" t="str">
        <x:v>Синтетическое тестовое фото и промпт</x:v>
      </x:c>
      <x:c r="I335" s="6" t="n">
        <x:v>39.6</x:v>
      </x:c>
      <x:c r="J335" s="6" t="n">
        <x:v>39.6</x:v>
      </x:c>
      <x:c r="K335" s="5" t="str">
        <x:v>Точная цена в редакторе</x:v>
      </x:c>
      <x:c r="L335" s="5" t="str">
        <x:v>видео</x:v>
      </x:c>
      <x:c r="M335" s="7" t="n">
        <x:f>IF(J335="","",ROUND(J335*Tariffs!$D$5,2))</x:f>
        <x:v>32.93</x:v>
      </x:c>
      <x:c r="N335" s="7" t="n">
        <x:f>IF(J335="","",ROUND(J335*Tariffs!$D$6,2))</x:f>
        <x:v>32.97</x:v>
      </x:c>
      <x:c r="O335" s="7" t="n">
        <x:f>IF(J335="","",ROUND(J335*Tariffs!$D$7,2))</x:f>
        <x:v>32.99</x:v>
      </x:c>
      <x:c r="P335" s="5" t="str">
        <x:v>https://neuromia.ru/app/video/seedance</x:v>
      </x:c>
      <x:c r="Q335" s="8" t="n">
        <x:v>46282.375</x:v>
      </x:c>
      <x:c r="R335" s="5" t="str">
        <x:v>Все четыре варианта повторно проверены после загрузки фото.</x:v>
      </x:c>
    </x:row>
    <x:row r="336" ht="22" customHeight="1">
      <x:c r="A336" s="5" t="str">
        <x:v>Видео</x:v>
      </x:c>
      <x:c r="B336" s="5" t="str">
        <x:v>Seedance V1 Pro Fast</x:v>
      </x:c>
      <x:c r="C336" s="5" t="str">
        <x:v>Фото → видео</x:v>
      </x:c>
      <x:c r="D336" s="5" t="str">
        <x:v>1080p</x:v>
      </x:c>
      <x:c r="E336" s="5" t="str">
        <x:v>—</x:v>
      </x:c>
      <x:c r="F336" s="5" t="n">
        <x:v>5</x:v>
      </x:c>
      <x:c r="G336" s="5" t="str">
        <x:v>—</x:v>
      </x:c>
      <x:c r="H336" s="5" t="str">
        <x:v>Синтетическое тестовое фото и промпт</x:v>
      </x:c>
      <x:c r="I336" s="6" t="n">
        <x:v>39.6</x:v>
      </x:c>
      <x:c r="J336" s="6" t="n">
        <x:v>39.6</x:v>
      </x:c>
      <x:c r="K336" s="5" t="str">
        <x:v>Точная цена в редакторе</x:v>
      </x:c>
      <x:c r="L336" s="5" t="str">
        <x:v>видео</x:v>
      </x:c>
      <x:c r="M336" s="7" t="n">
        <x:f>IF(J336="","",ROUND(J336*Tariffs!$D$5,2))</x:f>
        <x:v>32.93</x:v>
      </x:c>
      <x:c r="N336" s="7" t="n">
        <x:f>IF(J336="","",ROUND(J336*Tariffs!$D$6,2))</x:f>
        <x:v>32.97</x:v>
      </x:c>
      <x:c r="O336" s="7" t="n">
        <x:f>IF(J336="","",ROUND(J336*Tariffs!$D$7,2))</x:f>
        <x:v>32.99</x:v>
      </x:c>
      <x:c r="P336" s="5" t="str">
        <x:v>https://neuromia.ru/app/video/seedance</x:v>
      </x:c>
      <x:c r="Q336" s="8" t="n">
        <x:v>46282.375</x:v>
      </x:c>
      <x:c r="R336" s="5" t="str">
        <x:v>Все четыре варианта повторно проверены после загрузки фото.</x:v>
      </x:c>
    </x:row>
    <x:row r="337" ht="22" customHeight="1">
      <x:c r="A337" s="5" t="str">
        <x:v>Видео</x:v>
      </x:c>
      <x:c r="B337" s="5" t="str">
        <x:v>Seedance V1 Pro Fast</x:v>
      </x:c>
      <x:c r="C337" s="5" t="str">
        <x:v>Фото → видео</x:v>
      </x:c>
      <x:c r="D337" s="5" t="str">
        <x:v>1080p</x:v>
      </x:c>
      <x:c r="E337" s="5" t="str">
        <x:v>—</x:v>
      </x:c>
      <x:c r="F337" s="5" t="n">
        <x:v>10</x:v>
      </x:c>
      <x:c r="G337" s="5" t="str">
        <x:v>—</x:v>
      </x:c>
      <x:c r="H337" s="5" t="str">
        <x:v>Синтетическое тестовое фото и промпт</x:v>
      </x:c>
      <x:c r="I337" s="6" t="n">
        <x:v>79.2</x:v>
      </x:c>
      <x:c r="J337" s="6" t="n">
        <x:v>79.2</x:v>
      </x:c>
      <x:c r="K337" s="5" t="str">
        <x:v>Точная цена в редакторе</x:v>
      </x:c>
      <x:c r="L337" s="5" t="str">
        <x:v>видео</x:v>
      </x:c>
      <x:c r="M337" s="7" t="n">
        <x:f>IF(J337="","",ROUND(J337*Tariffs!$D$5,2))</x:f>
        <x:v>65.87</x:v>
      </x:c>
      <x:c r="N337" s="7" t="n">
        <x:f>IF(J337="","",ROUND(J337*Tariffs!$D$6,2))</x:f>
        <x:v>65.93</x:v>
      </x:c>
      <x:c r="O337" s="7" t="n">
        <x:f>IF(J337="","",ROUND(J337*Tariffs!$D$7,2))</x:f>
        <x:v>65.99</x:v>
      </x:c>
      <x:c r="P337" s="5" t="str">
        <x:v>https://neuromia.ru/app/video/seedance</x:v>
      </x:c>
      <x:c r="Q337" s="8" t="n">
        <x:v>46282.375</x:v>
      </x:c>
      <x:c r="R337" s="5" t="str">
        <x:v>Все четыре варианта повторно проверены после загрузки фото.</x:v>
      </x:c>
    </x:row>
    <x:row r="338" ht="22" customHeight="1">
      <x:c r="A338" s="5" t="str">
        <x:v>Видео</x:v>
      </x:c>
      <x:c r="B338" s="5" t="str">
        <x:v>MiniMax H3</x:v>
      </x:c>
      <x:c r="C338" s="5" t="str">
        <x:v>Текст → видео</x:v>
      </x:c>
      <x:c r="D338" s="5" t="str">
        <x:v>768P</x:v>
      </x:c>
      <x:c r="E338" s="5" t="str">
        <x:v>—</x:v>
      </x:c>
      <x:c r="F338" s="5" t="n">
        <x:v>4</x:v>
      </x:c>
      <x:c r="G338" s="5" t="str">
        <x:v>—</x:v>
      </x:c>
      <x:c r="H338" s="5" t="str">
        <x:v>Без исходного файла</x:v>
      </x:c>
      <x:c r="I338" s="6" t="n">
        <x:v>70.4</x:v>
      </x:c>
      <x:c r="J338" s="6" t="n">
        <x:v>70.4</x:v>
      </x:c>
      <x:c r="K338" s="5" t="str">
        <x:v>Точная цена в редакторе</x:v>
      </x:c>
      <x:c r="L338" s="5" t="str">
        <x:v>видео</x:v>
      </x:c>
      <x:c r="M338" s="7" t="n">
        <x:f>IF(J338="","",ROUND(J338*Tariffs!$D$5,2))</x:f>
        <x:v>58.55</x:v>
      </x:c>
      <x:c r="N338" s="7" t="n">
        <x:f>IF(J338="","",ROUND(J338*Tariffs!$D$6,2))</x:f>
        <x:v>58.61</x:v>
      </x:c>
      <x:c r="O338" s="7" t="n">
        <x:f>IF(J338="","",ROUND(J338*Tariffs!$D$7,2))</x:f>
        <x:v>58.65</x:v>
      </x:c>
      <x:c r="P338" s="5" t="str">
        <x:v>https://neuromia.ru/app/video/minimax</x:v>
      </x:c>
      <x:c r="Q338" s="8" t="n">
        <x:v>46282.375</x:v>
      </x:c>
      <x:c r="R338" s="5" t="str"/>
    </x:row>
    <x:row r="339" ht="22" customHeight="1">
      <x:c r="A339" s="5" t="str">
        <x:v>Видео</x:v>
      </x:c>
      <x:c r="B339" s="5" t="str">
        <x:v>MiniMax H3</x:v>
      </x:c>
      <x:c r="C339" s="5" t="str">
        <x:v>Текст → видео</x:v>
      </x:c>
      <x:c r="D339" s="5" t="str">
        <x:v>768P</x:v>
      </x:c>
      <x:c r="E339" s="5" t="str">
        <x:v>—</x:v>
      </x:c>
      <x:c r="F339" s="5" t="n">
        <x:v>5</x:v>
      </x:c>
      <x:c r="G339" s="5" t="str">
        <x:v>—</x:v>
      </x:c>
      <x:c r="H339" s="5" t="str">
        <x:v>Без исходного файла</x:v>
      </x:c>
      <x:c r="I339" s="6" t="n">
        <x:v>88</x:v>
      </x:c>
      <x:c r="J339" s="6" t="n">
        <x:v>88</x:v>
      </x:c>
      <x:c r="K339" s="5" t="str">
        <x:v>Точная цена в редакторе</x:v>
      </x:c>
      <x:c r="L339" s="5" t="str">
        <x:v>видео</x:v>
      </x:c>
      <x:c r="M339" s="7" t="n">
        <x:f>IF(J339="","",ROUND(J339*Tariffs!$D$5,2))</x:f>
        <x:v>73.19</x:v>
      </x:c>
      <x:c r="N339" s="7" t="n">
        <x:f>IF(J339="","",ROUND(J339*Tariffs!$D$6,2))</x:f>
        <x:v>73.26</x:v>
      </x:c>
      <x:c r="O339" s="7" t="n">
        <x:f>IF(J339="","",ROUND(J339*Tariffs!$D$7,2))</x:f>
        <x:v>73.32</x:v>
      </x:c>
      <x:c r="P339" s="5" t="str">
        <x:v>https://neuromia.ru/app/video/minimax</x:v>
      </x:c>
      <x:c r="Q339" s="8" t="n">
        <x:v>46282.375</x:v>
      </x:c>
      <x:c r="R339" s="5" t="str"/>
    </x:row>
    <x:row r="340" ht="22" customHeight="1">
      <x:c r="A340" s="5" t="str">
        <x:v>Видео</x:v>
      </x:c>
      <x:c r="B340" s="5" t="str">
        <x:v>MiniMax H3</x:v>
      </x:c>
      <x:c r="C340" s="5" t="str">
        <x:v>Текст → видео</x:v>
      </x:c>
      <x:c r="D340" s="5" t="str">
        <x:v>768P</x:v>
      </x:c>
      <x:c r="E340" s="5" t="str">
        <x:v>—</x:v>
      </x:c>
      <x:c r="F340" s="5" t="n">
        <x:v>6</x:v>
      </x:c>
      <x:c r="G340" s="5" t="str">
        <x:v>—</x:v>
      </x:c>
      <x:c r="H340" s="5" t="str">
        <x:v>Без исходного файла</x:v>
      </x:c>
      <x:c r="I340" s="6" t="n">
        <x:v>105.6</x:v>
      </x:c>
      <x:c r="J340" s="6" t="n">
        <x:v>105.6</x:v>
      </x:c>
      <x:c r="K340" s="5" t="str">
        <x:v>Точная цена в редакторе</x:v>
      </x:c>
      <x:c r="L340" s="5" t="str">
        <x:v>видео</x:v>
      </x:c>
      <x:c r="M340" s="7" t="n">
        <x:f>IF(J340="","",ROUND(J340*Tariffs!$D$5,2))</x:f>
        <x:v>87.82</x:v>
      </x:c>
      <x:c r="N340" s="7" t="n">
        <x:f>IF(J340="","",ROUND(J340*Tariffs!$D$6,2))</x:f>
        <x:v>87.91</x:v>
      </x:c>
      <x:c r="O340" s="7" t="n">
        <x:f>IF(J340="","",ROUND(J340*Tariffs!$D$7,2))</x:f>
        <x:v>87.98</x:v>
      </x:c>
      <x:c r="P340" s="5" t="str">
        <x:v>https://neuromia.ru/app/video/minimax</x:v>
      </x:c>
      <x:c r="Q340" s="8" t="n">
        <x:v>46282.375</x:v>
      </x:c>
      <x:c r="R340" s="5" t="str"/>
    </x:row>
    <x:row r="341" ht="22" customHeight="1">
      <x:c r="A341" s="5" t="str">
        <x:v>Видео</x:v>
      </x:c>
      <x:c r="B341" s="5" t="str">
        <x:v>MiniMax H3</x:v>
      </x:c>
      <x:c r="C341" s="5" t="str">
        <x:v>Текст → видео</x:v>
      </x:c>
      <x:c r="D341" s="5" t="str">
        <x:v>768P</x:v>
      </x:c>
      <x:c r="E341" s="5" t="str">
        <x:v>—</x:v>
      </x:c>
      <x:c r="F341" s="5" t="n">
        <x:v>7</x:v>
      </x:c>
      <x:c r="G341" s="5" t="str">
        <x:v>—</x:v>
      </x:c>
      <x:c r="H341" s="5" t="str">
        <x:v>Без исходного файла</x:v>
      </x:c>
      <x:c r="I341" s="6" t="n">
        <x:v>123.2</x:v>
      </x:c>
      <x:c r="J341" s="6" t="n">
        <x:v>123.2</x:v>
      </x:c>
      <x:c r="K341" s="5" t="str">
        <x:v>Точная цена в редакторе</x:v>
      </x:c>
      <x:c r="L341" s="5" t="str">
        <x:v>видео</x:v>
      </x:c>
      <x:c r="M341" s="7" t="n">
        <x:f>IF(J341="","",ROUND(J341*Tariffs!$D$5,2))</x:f>
        <x:v>102.46</x:v>
      </x:c>
      <x:c r="N341" s="7" t="n">
        <x:f>IF(J341="","",ROUND(J341*Tariffs!$D$6,2))</x:f>
        <x:v>102.56</x:v>
      </x:c>
      <x:c r="O341" s="7" t="n">
        <x:f>IF(J341="","",ROUND(J341*Tariffs!$D$7,2))</x:f>
        <x:v>102.65</x:v>
      </x:c>
      <x:c r="P341" s="5" t="str">
        <x:v>https://neuromia.ru/app/video/minimax</x:v>
      </x:c>
      <x:c r="Q341" s="8" t="n">
        <x:v>46282.375</x:v>
      </x:c>
      <x:c r="R341" s="5" t="str"/>
    </x:row>
    <x:row r="342" ht="22" customHeight="1">
      <x:c r="A342" s="5" t="str">
        <x:v>Видео</x:v>
      </x:c>
      <x:c r="B342" s="5" t="str">
        <x:v>MiniMax H3</x:v>
      </x:c>
      <x:c r="C342" s="5" t="str">
        <x:v>Текст → видео</x:v>
      </x:c>
      <x:c r="D342" s="5" t="str">
        <x:v>768P</x:v>
      </x:c>
      <x:c r="E342" s="5" t="str">
        <x:v>—</x:v>
      </x:c>
      <x:c r="F342" s="5" t="n">
        <x:v>8</x:v>
      </x:c>
      <x:c r="G342" s="5" t="str">
        <x:v>—</x:v>
      </x:c>
      <x:c r="H342" s="5" t="str">
        <x:v>Без исходного файла</x:v>
      </x:c>
      <x:c r="I342" s="6" t="n">
        <x:v>140.8</x:v>
      </x:c>
      <x:c r="J342" s="6" t="n">
        <x:v>140.8</x:v>
      </x:c>
      <x:c r="K342" s="5" t="str">
        <x:v>Точная цена в редакторе</x:v>
      </x:c>
      <x:c r="L342" s="5" t="str">
        <x:v>видео</x:v>
      </x:c>
      <x:c r="M342" s="7" t="n">
        <x:f>IF(J342="","",ROUND(J342*Tariffs!$D$5,2))</x:f>
        <x:v>117.1</x:v>
      </x:c>
      <x:c r="N342" s="7" t="n">
        <x:f>IF(J342="","",ROUND(J342*Tariffs!$D$6,2))</x:f>
        <x:v>117.22</x:v>
      </x:c>
      <x:c r="O342" s="7" t="n">
        <x:f>IF(J342="","",ROUND(J342*Tariffs!$D$7,2))</x:f>
        <x:v>117.31</x:v>
      </x:c>
      <x:c r="P342" s="5" t="str">
        <x:v>https://neuromia.ru/app/video/minimax</x:v>
      </x:c>
      <x:c r="Q342" s="8" t="n">
        <x:v>46282.375</x:v>
      </x:c>
      <x:c r="R342" s="5" t="str"/>
    </x:row>
    <x:row r="343" ht="22" customHeight="1">
      <x:c r="A343" s="5" t="str">
        <x:v>Видео</x:v>
      </x:c>
      <x:c r="B343" s="5" t="str">
        <x:v>MiniMax H3</x:v>
      </x:c>
      <x:c r="C343" s="5" t="str">
        <x:v>Текст → видео</x:v>
      </x:c>
      <x:c r="D343" s="5" t="str">
        <x:v>768P</x:v>
      </x:c>
      <x:c r="E343" s="5" t="str">
        <x:v>—</x:v>
      </x:c>
      <x:c r="F343" s="5" t="n">
        <x:v>9</x:v>
      </x:c>
      <x:c r="G343" s="5" t="str">
        <x:v>—</x:v>
      </x:c>
      <x:c r="H343" s="5" t="str">
        <x:v>Без исходного файла</x:v>
      </x:c>
      <x:c r="I343" s="6" t="n">
        <x:v>158.4</x:v>
      </x:c>
      <x:c r="J343" s="6" t="n">
        <x:v>158.4</x:v>
      </x:c>
      <x:c r="K343" s="5" t="str">
        <x:v>Точная цена в редакторе</x:v>
      </x:c>
      <x:c r="L343" s="5" t="str">
        <x:v>видео</x:v>
      </x:c>
      <x:c r="M343" s="7" t="n">
        <x:f>IF(J343="","",ROUND(J343*Tariffs!$D$5,2))</x:f>
        <x:v>131.74</x:v>
      </x:c>
      <x:c r="N343" s="7" t="n">
        <x:f>IF(J343="","",ROUND(J343*Tariffs!$D$6,2))</x:f>
        <x:v>131.87</x:v>
      </x:c>
      <x:c r="O343" s="7" t="n">
        <x:f>IF(J343="","",ROUND(J343*Tariffs!$D$7,2))</x:f>
        <x:v>131.97</x:v>
      </x:c>
      <x:c r="P343" s="5" t="str">
        <x:v>https://neuromia.ru/app/video/minimax</x:v>
      </x:c>
      <x:c r="Q343" s="8" t="n">
        <x:v>46282.375</x:v>
      </x:c>
      <x:c r="R343" s="5" t="str"/>
    </x:row>
    <x:row r="344" ht="22" customHeight="1">
      <x:c r="A344" s="5" t="str">
        <x:v>Видео</x:v>
      </x:c>
      <x:c r="B344" s="5" t="str">
        <x:v>MiniMax H3</x:v>
      </x:c>
      <x:c r="C344" s="5" t="str">
        <x:v>Текст → видео</x:v>
      </x:c>
      <x:c r="D344" s="5" t="str">
        <x:v>768P</x:v>
      </x:c>
      <x:c r="E344" s="5" t="str">
        <x:v>—</x:v>
      </x:c>
      <x:c r="F344" s="5" t="n">
        <x:v>10</x:v>
      </x:c>
      <x:c r="G344" s="5" t="str">
        <x:v>—</x:v>
      </x:c>
      <x:c r="H344" s="5" t="str">
        <x:v>Без исходного файла</x:v>
      </x:c>
      <x:c r="I344" s="6" t="n">
        <x:v>176</x:v>
      </x:c>
      <x:c r="J344" s="6" t="n">
        <x:v>176</x:v>
      </x:c>
      <x:c r="K344" s="5" t="str">
        <x:v>Точная цена в редакторе</x:v>
      </x:c>
      <x:c r="L344" s="5" t="str">
        <x:v>видео</x:v>
      </x:c>
      <x:c r="M344" s="7" t="n">
        <x:f>IF(J344="","",ROUND(J344*Tariffs!$D$5,2))</x:f>
        <x:v>146.37</x:v>
      </x:c>
      <x:c r="N344" s="7" t="n">
        <x:f>IF(J344="","",ROUND(J344*Tariffs!$D$6,2))</x:f>
        <x:v>146.52</x:v>
      </x:c>
      <x:c r="O344" s="7" t="n">
        <x:f>IF(J344="","",ROUND(J344*Tariffs!$D$7,2))</x:f>
        <x:v>146.64</x:v>
      </x:c>
      <x:c r="P344" s="5" t="str">
        <x:v>https://neuromia.ru/app/video/minimax</x:v>
      </x:c>
      <x:c r="Q344" s="8" t="n">
        <x:v>46282.375</x:v>
      </x:c>
      <x:c r="R344" s="5" t="str"/>
    </x:row>
    <x:row r="345" ht="22" customHeight="1">
      <x:c r="A345" s="5" t="str">
        <x:v>Видео</x:v>
      </x:c>
      <x:c r="B345" s="5" t="str">
        <x:v>MiniMax H3</x:v>
      </x:c>
      <x:c r="C345" s="5" t="str">
        <x:v>Текст → видео</x:v>
      </x:c>
      <x:c r="D345" s="5" t="str">
        <x:v>768P</x:v>
      </x:c>
      <x:c r="E345" s="5" t="str">
        <x:v>—</x:v>
      </x:c>
      <x:c r="F345" s="5" t="n">
        <x:v>11</x:v>
      </x:c>
      <x:c r="G345" s="5" t="str">
        <x:v>—</x:v>
      </x:c>
      <x:c r="H345" s="5" t="str">
        <x:v>Без исходного файла</x:v>
      </x:c>
      <x:c r="I345" s="6" t="n">
        <x:v>193.6</x:v>
      </x:c>
      <x:c r="J345" s="6" t="n">
        <x:v>193.6</x:v>
      </x:c>
      <x:c r="K345" s="5" t="str">
        <x:v>Точная цена в редакторе</x:v>
      </x:c>
      <x:c r="L345" s="5" t="str">
        <x:v>видео</x:v>
      </x:c>
      <x:c r="M345" s="7" t="n">
        <x:f>IF(J345="","",ROUND(J345*Tariffs!$D$5,2))</x:f>
        <x:v>161.01</x:v>
      </x:c>
      <x:c r="N345" s="7" t="n">
        <x:f>IF(J345="","",ROUND(J345*Tariffs!$D$6,2))</x:f>
        <x:v>161.17</x:v>
      </x:c>
      <x:c r="O345" s="7" t="n">
        <x:f>IF(J345="","",ROUND(J345*Tariffs!$D$7,2))</x:f>
        <x:v>161.3</x:v>
      </x:c>
      <x:c r="P345" s="5" t="str">
        <x:v>https://neuromia.ru/app/video/minimax</x:v>
      </x:c>
      <x:c r="Q345" s="8" t="n">
        <x:v>46282.375</x:v>
      </x:c>
      <x:c r="R345" s="5" t="str"/>
    </x:row>
    <x:row r="346" ht="22" customHeight="1">
      <x:c r="A346" s="5" t="str">
        <x:v>Видео</x:v>
      </x:c>
      <x:c r="B346" s="5" t="str">
        <x:v>MiniMax H3</x:v>
      </x:c>
      <x:c r="C346" s="5" t="str">
        <x:v>Текст → видео</x:v>
      </x:c>
      <x:c r="D346" s="5" t="str">
        <x:v>768P</x:v>
      </x:c>
      <x:c r="E346" s="5" t="str">
        <x:v>—</x:v>
      </x:c>
      <x:c r="F346" s="5" t="n">
        <x:v>12</x:v>
      </x:c>
      <x:c r="G346" s="5" t="str">
        <x:v>—</x:v>
      </x:c>
      <x:c r="H346" s="5" t="str">
        <x:v>Без исходного файла</x:v>
      </x:c>
      <x:c r="I346" s="6" t="n">
        <x:v>211.2</x:v>
      </x:c>
      <x:c r="J346" s="6" t="n">
        <x:v>211.2</x:v>
      </x:c>
      <x:c r="K346" s="5" t="str">
        <x:v>Точная цена в редакторе</x:v>
      </x:c>
      <x:c r="L346" s="5" t="str">
        <x:v>видео</x:v>
      </x:c>
      <x:c r="M346" s="7" t="n">
        <x:f>IF(J346="","",ROUND(J346*Tariffs!$D$5,2))</x:f>
        <x:v>175.65</x:v>
      </x:c>
      <x:c r="N346" s="7" t="n">
        <x:f>IF(J346="","",ROUND(J346*Tariffs!$D$6,2))</x:f>
        <x:v>175.82</x:v>
      </x:c>
      <x:c r="O346" s="7" t="n">
        <x:f>IF(J346="","",ROUND(J346*Tariffs!$D$7,2))</x:f>
        <x:v>175.96</x:v>
      </x:c>
      <x:c r="P346" s="5" t="str">
        <x:v>https://neuromia.ru/app/video/minimax</x:v>
      </x:c>
      <x:c r="Q346" s="8" t="n">
        <x:v>46282.375</x:v>
      </x:c>
      <x:c r="R346" s="5" t="str"/>
    </x:row>
    <x:row r="347" ht="22" customHeight="1">
      <x:c r="A347" s="5" t="str">
        <x:v>Видео</x:v>
      </x:c>
      <x:c r="B347" s="5" t="str">
        <x:v>MiniMax H3</x:v>
      </x:c>
      <x:c r="C347" s="5" t="str">
        <x:v>Текст → видео</x:v>
      </x:c>
      <x:c r="D347" s="5" t="str">
        <x:v>768P</x:v>
      </x:c>
      <x:c r="E347" s="5" t="str">
        <x:v>—</x:v>
      </x:c>
      <x:c r="F347" s="5" t="n">
        <x:v>13</x:v>
      </x:c>
      <x:c r="G347" s="5" t="str">
        <x:v>—</x:v>
      </x:c>
      <x:c r="H347" s="5" t="str">
        <x:v>Без исходного файла</x:v>
      </x:c>
      <x:c r="I347" s="6" t="n">
        <x:v>228.8</x:v>
      </x:c>
      <x:c r="J347" s="6" t="n">
        <x:v>228.8</x:v>
      </x:c>
      <x:c r="K347" s="5" t="str">
        <x:v>Точная цена в редакторе</x:v>
      </x:c>
      <x:c r="L347" s="5" t="str">
        <x:v>видео</x:v>
      </x:c>
      <x:c r="M347" s="7" t="n">
        <x:f>IF(J347="","",ROUND(J347*Tariffs!$D$5,2))</x:f>
        <x:v>190.29</x:v>
      </x:c>
      <x:c r="N347" s="7" t="n">
        <x:f>IF(J347="","",ROUND(J347*Tariffs!$D$6,2))</x:f>
        <x:v>190.48</x:v>
      </x:c>
      <x:c r="O347" s="7" t="n">
        <x:f>IF(J347="","",ROUND(J347*Tariffs!$D$7,2))</x:f>
        <x:v>190.63</x:v>
      </x:c>
      <x:c r="P347" s="5" t="str">
        <x:v>https://neuromia.ru/app/video/minimax</x:v>
      </x:c>
      <x:c r="Q347" s="8" t="n">
        <x:v>46282.375</x:v>
      </x:c>
      <x:c r="R347" s="5" t="str"/>
    </x:row>
    <x:row r="348" ht="22" customHeight="1">
      <x:c r="A348" s="5" t="str">
        <x:v>Видео</x:v>
      </x:c>
      <x:c r="B348" s="5" t="str">
        <x:v>MiniMax H3</x:v>
      </x:c>
      <x:c r="C348" s="5" t="str">
        <x:v>Текст → видео</x:v>
      </x:c>
      <x:c r="D348" s="5" t="str">
        <x:v>768P</x:v>
      </x:c>
      <x:c r="E348" s="5" t="str">
        <x:v>—</x:v>
      </x:c>
      <x:c r="F348" s="5" t="n">
        <x:v>14</x:v>
      </x:c>
      <x:c r="G348" s="5" t="str">
        <x:v>—</x:v>
      </x:c>
      <x:c r="H348" s="5" t="str">
        <x:v>Без исходного файла</x:v>
      </x:c>
      <x:c r="I348" s="6" t="n">
        <x:v>246.4</x:v>
      </x:c>
      <x:c r="J348" s="6" t="n">
        <x:v>246.4</x:v>
      </x:c>
      <x:c r="K348" s="5" t="str">
        <x:v>Точная цена в редакторе</x:v>
      </x:c>
      <x:c r="L348" s="5" t="str">
        <x:v>видео</x:v>
      </x:c>
      <x:c r="M348" s="7" t="n">
        <x:f>IF(J348="","",ROUND(J348*Tariffs!$D$5,2))</x:f>
        <x:v>204.92</x:v>
      </x:c>
      <x:c r="N348" s="7" t="n">
        <x:f>IF(J348="","",ROUND(J348*Tariffs!$D$6,2))</x:f>
        <x:v>205.13</x:v>
      </x:c>
      <x:c r="O348" s="7" t="n">
        <x:f>IF(J348="","",ROUND(J348*Tariffs!$D$7,2))</x:f>
        <x:v>205.29</x:v>
      </x:c>
      <x:c r="P348" s="5" t="str">
        <x:v>https://neuromia.ru/app/video/minimax</x:v>
      </x:c>
      <x:c r="Q348" s="8" t="n">
        <x:v>46282.375</x:v>
      </x:c>
      <x:c r="R348" s="5" t="str"/>
    </x:row>
    <x:row r="349" ht="22" customHeight="1">
      <x:c r="A349" s="5" t="str">
        <x:v>Видео</x:v>
      </x:c>
      <x:c r="B349" s="5" t="str">
        <x:v>MiniMax H3</x:v>
      </x:c>
      <x:c r="C349" s="5" t="str">
        <x:v>Текст → видео</x:v>
      </x:c>
      <x:c r="D349" s="5" t="str">
        <x:v>768P</x:v>
      </x:c>
      <x:c r="E349" s="5" t="str">
        <x:v>—</x:v>
      </x:c>
      <x:c r="F349" s="5" t="n">
        <x:v>15</x:v>
      </x:c>
      <x:c r="G349" s="5" t="str">
        <x:v>—</x:v>
      </x:c>
      <x:c r="H349" s="5" t="str">
        <x:v>Без исходного файла</x:v>
      </x:c>
      <x:c r="I349" s="6" t="n">
        <x:v>264</x:v>
      </x:c>
      <x:c r="J349" s="6" t="n">
        <x:v>264</x:v>
      </x:c>
      <x:c r="K349" s="5" t="str">
        <x:v>Точная цена в редакторе</x:v>
      </x:c>
      <x:c r="L349" s="5" t="str">
        <x:v>видео</x:v>
      </x:c>
      <x:c r="M349" s="7" t="n">
        <x:f>IF(J349="","",ROUND(J349*Tariffs!$D$5,2))</x:f>
        <x:v>219.56</x:v>
      </x:c>
      <x:c r="N349" s="7" t="n">
        <x:f>IF(J349="","",ROUND(J349*Tariffs!$D$6,2))</x:f>
        <x:v>219.78</x:v>
      </x:c>
      <x:c r="O349" s="7" t="n">
        <x:f>IF(J349="","",ROUND(J349*Tariffs!$D$7,2))</x:f>
        <x:v>219.96</x:v>
      </x:c>
      <x:c r="P349" s="5" t="str">
        <x:v>https://neuromia.ru/app/video/minimax</x:v>
      </x:c>
      <x:c r="Q349" s="8" t="n">
        <x:v>46282.375</x:v>
      </x:c>
      <x:c r="R349" s="5" t="str"/>
    </x:row>
    <x:row r="350" ht="22" customHeight="1">
      <x:c r="A350" s="5" t="str">
        <x:v>Видео</x:v>
      </x:c>
      <x:c r="B350" s="5" t="str">
        <x:v>MiniMax H3</x:v>
      </x:c>
      <x:c r="C350" s="5" t="str">
        <x:v>Текст → видео</x:v>
      </x:c>
      <x:c r="D350" s="5" t="str">
        <x:v>2K</x:v>
      </x:c>
      <x:c r="E350" s="5" t="str">
        <x:v>—</x:v>
      </x:c>
      <x:c r="F350" s="5" t="n">
        <x:v>4</x:v>
      </x:c>
      <x:c r="G350" s="5" t="str">
        <x:v>—</x:v>
      </x:c>
      <x:c r="H350" s="5" t="str">
        <x:v>Без исходного файла</x:v>
      </x:c>
      <x:c r="I350" s="6" t="n">
        <x:v>114.4</x:v>
      </x:c>
      <x:c r="J350" s="6" t="n">
        <x:v>114.4</x:v>
      </x:c>
      <x:c r="K350" s="5" t="str">
        <x:v>Точная цена в редакторе</x:v>
      </x:c>
      <x:c r="L350" s="5" t="str">
        <x:v>видео</x:v>
      </x:c>
      <x:c r="M350" s="7" t="n">
        <x:f>IF(J350="","",ROUND(J350*Tariffs!$D$5,2))</x:f>
        <x:v>95.14</x:v>
      </x:c>
      <x:c r="N350" s="7" t="n">
        <x:f>IF(J350="","",ROUND(J350*Tariffs!$D$6,2))</x:f>
        <x:v>95.24</x:v>
      </x:c>
      <x:c r="O350" s="7" t="n">
        <x:f>IF(J350="","",ROUND(J350*Tariffs!$D$7,2))</x:f>
        <x:v>95.31</x:v>
      </x:c>
      <x:c r="P350" s="5" t="str">
        <x:v>https://neuromia.ru/app/video/minimax</x:v>
      </x:c>
      <x:c r="Q350" s="8" t="n">
        <x:v>46282.375</x:v>
      </x:c>
      <x:c r="R350" s="5" t="str"/>
    </x:row>
    <x:row r="351" ht="22" customHeight="1">
      <x:c r="A351" s="5" t="str">
        <x:v>Видео</x:v>
      </x:c>
      <x:c r="B351" s="5" t="str">
        <x:v>MiniMax H3</x:v>
      </x:c>
      <x:c r="C351" s="5" t="str">
        <x:v>Текст → видео</x:v>
      </x:c>
      <x:c r="D351" s="5" t="str">
        <x:v>2K</x:v>
      </x:c>
      <x:c r="E351" s="5" t="str">
        <x:v>—</x:v>
      </x:c>
      <x:c r="F351" s="5" t="n">
        <x:v>5</x:v>
      </x:c>
      <x:c r="G351" s="5" t="str">
        <x:v>—</x:v>
      </x:c>
      <x:c r="H351" s="5" t="str">
        <x:v>Без исходного файла</x:v>
      </x:c>
      <x:c r="I351" s="6" t="n">
        <x:v>143</x:v>
      </x:c>
      <x:c r="J351" s="6" t="n">
        <x:v>143</x:v>
      </x:c>
      <x:c r="K351" s="5" t="str">
        <x:v>Точная цена в редакторе</x:v>
      </x:c>
      <x:c r="L351" s="5" t="str">
        <x:v>видео</x:v>
      </x:c>
      <x:c r="M351" s="7" t="n">
        <x:f>IF(J351="","",ROUND(J351*Tariffs!$D$5,2))</x:f>
        <x:v>118.93</x:v>
      </x:c>
      <x:c r="N351" s="7" t="n">
        <x:f>IF(J351="","",ROUND(J351*Tariffs!$D$6,2))</x:f>
        <x:v>119.05</x:v>
      </x:c>
      <x:c r="O351" s="7" t="n">
        <x:f>IF(J351="","",ROUND(J351*Tariffs!$D$7,2))</x:f>
        <x:v>119.14</x:v>
      </x:c>
      <x:c r="P351" s="5" t="str">
        <x:v>https://neuromia.ru/app/video/minimax</x:v>
      </x:c>
      <x:c r="Q351" s="8" t="n">
        <x:v>46282.375</x:v>
      </x:c>
      <x:c r="R351" s="5" t="str"/>
    </x:row>
    <x:row r="352" ht="22" customHeight="1">
      <x:c r="A352" s="5" t="str">
        <x:v>Видео</x:v>
      </x:c>
      <x:c r="B352" s="5" t="str">
        <x:v>MiniMax H3</x:v>
      </x:c>
      <x:c r="C352" s="5" t="str">
        <x:v>Текст → видео</x:v>
      </x:c>
      <x:c r="D352" s="5" t="str">
        <x:v>2K</x:v>
      </x:c>
      <x:c r="E352" s="5" t="str">
        <x:v>—</x:v>
      </x:c>
      <x:c r="F352" s="5" t="n">
        <x:v>6</x:v>
      </x:c>
      <x:c r="G352" s="5" t="str">
        <x:v>—</x:v>
      </x:c>
      <x:c r="H352" s="5" t="str">
        <x:v>Без исходного файла</x:v>
      </x:c>
      <x:c r="I352" s="6" t="n">
        <x:v>171.6</x:v>
      </x:c>
      <x:c r="J352" s="6" t="n">
        <x:v>171.6</x:v>
      </x:c>
      <x:c r="K352" s="5" t="str">
        <x:v>Точная цена в редакторе</x:v>
      </x:c>
      <x:c r="L352" s="5" t="str">
        <x:v>видео</x:v>
      </x:c>
      <x:c r="M352" s="7" t="n">
        <x:f>IF(J352="","",ROUND(J352*Tariffs!$D$5,2))</x:f>
        <x:v>142.71</x:v>
      </x:c>
      <x:c r="N352" s="7" t="n">
        <x:f>IF(J352="","",ROUND(J352*Tariffs!$D$6,2))</x:f>
        <x:v>142.86</x:v>
      </x:c>
      <x:c r="O352" s="7" t="n">
        <x:f>IF(J352="","",ROUND(J352*Tariffs!$D$7,2))</x:f>
        <x:v>142.97</x:v>
      </x:c>
      <x:c r="P352" s="5" t="str">
        <x:v>https://neuromia.ru/app/video/minimax</x:v>
      </x:c>
      <x:c r="Q352" s="8" t="n">
        <x:v>46282.375</x:v>
      </x:c>
      <x:c r="R352" s="5" t="str"/>
    </x:row>
    <x:row r="353" ht="22" customHeight="1">
      <x:c r="A353" s="5" t="str">
        <x:v>Видео</x:v>
      </x:c>
      <x:c r="B353" s="5" t="str">
        <x:v>MiniMax H3</x:v>
      </x:c>
      <x:c r="C353" s="5" t="str">
        <x:v>Текст → видео</x:v>
      </x:c>
      <x:c r="D353" s="5" t="str">
        <x:v>2K</x:v>
      </x:c>
      <x:c r="E353" s="5" t="str">
        <x:v>—</x:v>
      </x:c>
      <x:c r="F353" s="5" t="n">
        <x:v>7</x:v>
      </x:c>
      <x:c r="G353" s="5" t="str">
        <x:v>—</x:v>
      </x:c>
      <x:c r="H353" s="5" t="str">
        <x:v>Без исходного файла</x:v>
      </x:c>
      <x:c r="I353" s="6" t="n">
        <x:v>200.2</x:v>
      </x:c>
      <x:c r="J353" s="6" t="n">
        <x:v>200.2</x:v>
      </x:c>
      <x:c r="K353" s="5" t="str">
        <x:v>Точная цена в редакторе</x:v>
      </x:c>
      <x:c r="L353" s="5" t="str">
        <x:v>видео</x:v>
      </x:c>
      <x:c r="M353" s="7" t="n">
        <x:f>IF(J353="","",ROUND(J353*Tariffs!$D$5,2))</x:f>
        <x:v>166.5</x:v>
      </x:c>
      <x:c r="N353" s="7" t="n">
        <x:f>IF(J353="","",ROUND(J353*Tariffs!$D$6,2))</x:f>
        <x:v>166.67</x:v>
      </x:c>
      <x:c r="O353" s="7" t="n">
        <x:f>IF(J353="","",ROUND(J353*Tariffs!$D$7,2))</x:f>
        <x:v>166.8</x:v>
      </x:c>
      <x:c r="P353" s="5" t="str">
        <x:v>https://neuromia.ru/app/video/minimax</x:v>
      </x:c>
      <x:c r="Q353" s="8" t="n">
        <x:v>46282.375</x:v>
      </x:c>
      <x:c r="R353" s="5" t="str"/>
    </x:row>
    <x:row r="354" ht="22" customHeight="1">
      <x:c r="A354" s="5" t="str">
        <x:v>Видео</x:v>
      </x:c>
      <x:c r="B354" s="5" t="str">
        <x:v>MiniMax H3</x:v>
      </x:c>
      <x:c r="C354" s="5" t="str">
        <x:v>Текст → видео</x:v>
      </x:c>
      <x:c r="D354" s="5" t="str">
        <x:v>2K</x:v>
      </x:c>
      <x:c r="E354" s="5" t="str">
        <x:v>—</x:v>
      </x:c>
      <x:c r="F354" s="5" t="n">
        <x:v>8</x:v>
      </x:c>
      <x:c r="G354" s="5" t="str">
        <x:v>—</x:v>
      </x:c>
      <x:c r="H354" s="5" t="str">
        <x:v>Без исходного файла</x:v>
      </x:c>
      <x:c r="I354" s="6" t="n">
        <x:v>228.8</x:v>
      </x:c>
      <x:c r="J354" s="6" t="n">
        <x:v>228.8</x:v>
      </x:c>
      <x:c r="K354" s="5" t="str">
        <x:v>Точная цена в редакторе</x:v>
      </x:c>
      <x:c r="L354" s="5" t="str">
        <x:v>видео</x:v>
      </x:c>
      <x:c r="M354" s="7" t="n">
        <x:f>IF(J354="","",ROUND(J354*Tariffs!$D$5,2))</x:f>
        <x:v>190.29</x:v>
      </x:c>
      <x:c r="N354" s="7" t="n">
        <x:f>IF(J354="","",ROUND(J354*Tariffs!$D$6,2))</x:f>
        <x:v>190.48</x:v>
      </x:c>
      <x:c r="O354" s="7" t="n">
        <x:f>IF(J354="","",ROUND(J354*Tariffs!$D$7,2))</x:f>
        <x:v>190.63</x:v>
      </x:c>
      <x:c r="P354" s="5" t="str">
        <x:v>https://neuromia.ru/app/video/minimax</x:v>
      </x:c>
      <x:c r="Q354" s="8" t="n">
        <x:v>46282.375</x:v>
      </x:c>
      <x:c r="R354" s="5" t="str"/>
    </x:row>
    <x:row r="355" ht="22" customHeight="1">
      <x:c r="A355" s="5" t="str">
        <x:v>Видео</x:v>
      </x:c>
      <x:c r="B355" s="5" t="str">
        <x:v>MiniMax H3</x:v>
      </x:c>
      <x:c r="C355" s="5" t="str">
        <x:v>Текст → видео</x:v>
      </x:c>
      <x:c r="D355" s="5" t="str">
        <x:v>2K</x:v>
      </x:c>
      <x:c r="E355" s="5" t="str">
        <x:v>—</x:v>
      </x:c>
      <x:c r="F355" s="5" t="n">
        <x:v>9</x:v>
      </x:c>
      <x:c r="G355" s="5" t="str">
        <x:v>—</x:v>
      </x:c>
      <x:c r="H355" s="5" t="str">
        <x:v>Без исходного файла</x:v>
      </x:c>
      <x:c r="I355" s="6" t="n">
        <x:v>257.4</x:v>
      </x:c>
      <x:c r="J355" s="6" t="n">
        <x:v>257.4</x:v>
      </x:c>
      <x:c r="K355" s="5" t="str">
        <x:v>Точная цена в редакторе</x:v>
      </x:c>
      <x:c r="L355" s="5" t="str">
        <x:v>видео</x:v>
      </x:c>
      <x:c r="M355" s="7" t="n">
        <x:f>IF(J355="","",ROUND(J355*Tariffs!$D$5,2))</x:f>
        <x:v>214.07</x:v>
      </x:c>
      <x:c r="N355" s="7" t="n">
        <x:f>IF(J355="","",ROUND(J355*Tariffs!$D$6,2))</x:f>
        <x:v>214.29</x:v>
      </x:c>
      <x:c r="O355" s="7" t="n">
        <x:f>IF(J355="","",ROUND(J355*Tariffs!$D$7,2))</x:f>
        <x:v>214.46</x:v>
      </x:c>
      <x:c r="P355" s="5" t="str">
        <x:v>https://neuromia.ru/app/video/minimax</x:v>
      </x:c>
      <x:c r="Q355" s="8" t="n">
        <x:v>46282.375</x:v>
      </x:c>
      <x:c r="R355" s="5" t="str"/>
    </x:row>
    <x:row r="356" ht="22" customHeight="1">
      <x:c r="A356" s="5" t="str">
        <x:v>Видео</x:v>
      </x:c>
      <x:c r="B356" s="5" t="str">
        <x:v>MiniMax H3</x:v>
      </x:c>
      <x:c r="C356" s="5" t="str">
        <x:v>Текст → видео</x:v>
      </x:c>
      <x:c r="D356" s="5" t="str">
        <x:v>2K</x:v>
      </x:c>
      <x:c r="E356" s="5" t="str">
        <x:v>—</x:v>
      </x:c>
      <x:c r="F356" s="5" t="n">
        <x:v>10</x:v>
      </x:c>
      <x:c r="G356" s="5" t="str">
        <x:v>—</x:v>
      </x:c>
      <x:c r="H356" s="5" t="str">
        <x:v>Без исходного файла</x:v>
      </x:c>
      <x:c r="I356" s="6" t="n">
        <x:v>286</x:v>
      </x:c>
      <x:c r="J356" s="6" t="n">
        <x:v>286</x:v>
      </x:c>
      <x:c r="K356" s="5" t="str">
        <x:v>Точная цена в редакторе</x:v>
      </x:c>
      <x:c r="L356" s="5" t="str">
        <x:v>видео</x:v>
      </x:c>
      <x:c r="M356" s="7" t="n">
        <x:f>IF(J356="","",ROUND(J356*Tariffs!$D$5,2))</x:f>
        <x:v>237.86</x:v>
      </x:c>
      <x:c r="N356" s="7" t="n">
        <x:f>IF(J356="","",ROUND(J356*Tariffs!$D$6,2))</x:f>
        <x:v>238.1</x:v>
      </x:c>
      <x:c r="O356" s="7" t="n">
        <x:f>IF(J356="","",ROUND(J356*Tariffs!$D$7,2))</x:f>
        <x:v>238.29</x:v>
      </x:c>
      <x:c r="P356" s="5" t="str">
        <x:v>https://neuromia.ru/app/video/minimax</x:v>
      </x:c>
      <x:c r="Q356" s="8" t="n">
        <x:v>46282.375</x:v>
      </x:c>
      <x:c r="R356" s="5" t="str"/>
    </x:row>
    <x:row r="357" ht="22" customHeight="1">
      <x:c r="A357" s="5" t="str">
        <x:v>Видео</x:v>
      </x:c>
      <x:c r="B357" s="5" t="str">
        <x:v>MiniMax H3</x:v>
      </x:c>
      <x:c r="C357" s="5" t="str">
        <x:v>Текст → видео</x:v>
      </x:c>
      <x:c r="D357" s="5" t="str">
        <x:v>2K</x:v>
      </x:c>
      <x:c r="E357" s="5" t="str">
        <x:v>—</x:v>
      </x:c>
      <x:c r="F357" s="5" t="n">
        <x:v>11</x:v>
      </x:c>
      <x:c r="G357" s="5" t="str">
        <x:v>—</x:v>
      </x:c>
      <x:c r="H357" s="5" t="str">
        <x:v>Без исходного файла</x:v>
      </x:c>
      <x:c r="I357" s="6" t="n">
        <x:v>314.6</x:v>
      </x:c>
      <x:c r="J357" s="6" t="n">
        <x:v>314.6</x:v>
      </x:c>
      <x:c r="K357" s="5" t="str">
        <x:v>Точная цена в редакторе</x:v>
      </x:c>
      <x:c r="L357" s="5" t="str">
        <x:v>видео</x:v>
      </x:c>
      <x:c r="M357" s="7" t="n">
        <x:f>IF(J357="","",ROUND(J357*Tariffs!$D$5,2))</x:f>
        <x:v>261.64</x:v>
      </x:c>
      <x:c r="N357" s="7" t="n">
        <x:f>IF(J357="","",ROUND(J357*Tariffs!$D$6,2))</x:f>
        <x:v>261.9</x:v>
      </x:c>
      <x:c r="O357" s="7" t="n">
        <x:f>IF(J357="","",ROUND(J357*Tariffs!$D$7,2))</x:f>
        <x:v>262.11</x:v>
      </x:c>
      <x:c r="P357" s="5" t="str">
        <x:v>https://neuromia.ru/app/video/minimax</x:v>
      </x:c>
      <x:c r="Q357" s="8" t="n">
        <x:v>46282.375</x:v>
      </x:c>
      <x:c r="R357" s="5" t="str"/>
    </x:row>
    <x:row r="358" ht="22" customHeight="1">
      <x:c r="A358" s="5" t="str">
        <x:v>Видео</x:v>
      </x:c>
      <x:c r="B358" s="5" t="str">
        <x:v>MiniMax H3</x:v>
      </x:c>
      <x:c r="C358" s="5" t="str">
        <x:v>Текст → видео</x:v>
      </x:c>
      <x:c r="D358" s="5" t="str">
        <x:v>2K</x:v>
      </x:c>
      <x:c r="E358" s="5" t="str">
        <x:v>—</x:v>
      </x:c>
      <x:c r="F358" s="5" t="n">
        <x:v>12</x:v>
      </x:c>
      <x:c r="G358" s="5" t="str">
        <x:v>—</x:v>
      </x:c>
      <x:c r="H358" s="5" t="str">
        <x:v>Без исходного файла</x:v>
      </x:c>
      <x:c r="I358" s="6" t="n">
        <x:v>343.2</x:v>
      </x:c>
      <x:c r="J358" s="6" t="n">
        <x:v>343.2</x:v>
      </x:c>
      <x:c r="K358" s="5" t="str">
        <x:v>Точная цена в редакторе</x:v>
      </x:c>
      <x:c r="L358" s="5" t="str">
        <x:v>видео</x:v>
      </x:c>
      <x:c r="M358" s="7" t="n">
        <x:f>IF(J358="","",ROUND(J358*Tariffs!$D$5,2))</x:f>
        <x:v>285.43</x:v>
      </x:c>
      <x:c r="N358" s="7" t="n">
        <x:f>IF(J358="","",ROUND(J358*Tariffs!$D$6,2))</x:f>
        <x:v>285.71</x:v>
      </x:c>
      <x:c r="O358" s="7" t="n">
        <x:f>IF(J358="","",ROUND(J358*Tariffs!$D$7,2))</x:f>
        <x:v>285.94</x:v>
      </x:c>
      <x:c r="P358" s="5" t="str">
        <x:v>https://neuromia.ru/app/video/minimax</x:v>
      </x:c>
      <x:c r="Q358" s="8" t="n">
        <x:v>46282.375</x:v>
      </x:c>
      <x:c r="R358" s="5" t="str"/>
    </x:row>
    <x:row r="359" ht="22" customHeight="1">
      <x:c r="A359" s="5" t="str">
        <x:v>Видео</x:v>
      </x:c>
      <x:c r="B359" s="5" t="str">
        <x:v>MiniMax H3</x:v>
      </x:c>
      <x:c r="C359" s="5" t="str">
        <x:v>Текст → видео</x:v>
      </x:c>
      <x:c r="D359" s="5" t="str">
        <x:v>2K</x:v>
      </x:c>
      <x:c r="E359" s="5" t="str">
        <x:v>—</x:v>
      </x:c>
      <x:c r="F359" s="5" t="n">
        <x:v>13</x:v>
      </x:c>
      <x:c r="G359" s="5" t="str">
        <x:v>—</x:v>
      </x:c>
      <x:c r="H359" s="5" t="str">
        <x:v>Без исходного файла</x:v>
      </x:c>
      <x:c r="I359" s="6" t="n">
        <x:v>371.8</x:v>
      </x:c>
      <x:c r="J359" s="6" t="n">
        <x:v>371.8</x:v>
      </x:c>
      <x:c r="K359" s="5" t="str">
        <x:v>Точная цена в редакторе</x:v>
      </x:c>
      <x:c r="L359" s="5" t="str">
        <x:v>видео</x:v>
      </x:c>
      <x:c r="M359" s="7" t="n">
        <x:f>IF(J359="","",ROUND(J359*Tariffs!$D$5,2))</x:f>
        <x:v>309.21</x:v>
      </x:c>
      <x:c r="N359" s="7" t="n">
        <x:f>IF(J359="","",ROUND(J359*Tariffs!$D$6,2))</x:f>
        <x:v>309.52</x:v>
      </x:c>
      <x:c r="O359" s="7" t="n">
        <x:f>IF(J359="","",ROUND(J359*Tariffs!$D$7,2))</x:f>
        <x:v>309.77</x:v>
      </x:c>
      <x:c r="P359" s="5" t="str">
        <x:v>https://neuromia.ru/app/video/minimax</x:v>
      </x:c>
      <x:c r="Q359" s="8" t="n">
        <x:v>46282.375</x:v>
      </x:c>
      <x:c r="R359" s="5" t="str"/>
    </x:row>
    <x:row r="360" ht="22" customHeight="1">
      <x:c r="A360" s="5" t="str">
        <x:v>Видео</x:v>
      </x:c>
      <x:c r="B360" s="5" t="str">
        <x:v>MiniMax H3</x:v>
      </x:c>
      <x:c r="C360" s="5" t="str">
        <x:v>Текст → видео</x:v>
      </x:c>
      <x:c r="D360" s="5" t="str">
        <x:v>2K</x:v>
      </x:c>
      <x:c r="E360" s="5" t="str">
        <x:v>—</x:v>
      </x:c>
      <x:c r="F360" s="5" t="n">
        <x:v>14</x:v>
      </x:c>
      <x:c r="G360" s="5" t="str">
        <x:v>—</x:v>
      </x:c>
      <x:c r="H360" s="5" t="str">
        <x:v>Без исходного файла</x:v>
      </x:c>
      <x:c r="I360" s="6" t="n">
        <x:v>400.4</x:v>
      </x:c>
      <x:c r="J360" s="6" t="n">
        <x:v>400.4</x:v>
      </x:c>
      <x:c r="K360" s="5" t="str">
        <x:v>Точная цена в редакторе</x:v>
      </x:c>
      <x:c r="L360" s="5" t="str">
        <x:v>видео</x:v>
      </x:c>
      <x:c r="M360" s="7" t="n">
        <x:f>IF(J360="","",ROUND(J360*Tariffs!$D$5,2))</x:f>
        <x:v>333</x:v>
      </x:c>
      <x:c r="N360" s="7" t="n">
        <x:f>IF(J360="","",ROUND(J360*Tariffs!$D$6,2))</x:f>
        <x:v>333.33</x:v>
      </x:c>
      <x:c r="O360" s="7" t="n">
        <x:f>IF(J360="","",ROUND(J360*Tariffs!$D$7,2))</x:f>
        <x:v>333.6</x:v>
      </x:c>
      <x:c r="P360" s="5" t="str">
        <x:v>https://neuromia.ru/app/video/minimax</x:v>
      </x:c>
      <x:c r="Q360" s="8" t="n">
        <x:v>46282.375</x:v>
      </x:c>
      <x:c r="R360" s="5" t="str"/>
    </x:row>
    <x:row r="361" ht="22" customHeight="1">
      <x:c r="A361" s="5" t="str">
        <x:v>Видео</x:v>
      </x:c>
      <x:c r="B361" s="5" t="str">
        <x:v>MiniMax H3</x:v>
      </x:c>
      <x:c r="C361" s="5" t="str">
        <x:v>Текст → видео</x:v>
      </x:c>
      <x:c r="D361" s="5" t="str">
        <x:v>2K</x:v>
      </x:c>
      <x:c r="E361" s="5" t="str">
        <x:v>—</x:v>
      </x:c>
      <x:c r="F361" s="5" t="n">
        <x:v>15</x:v>
      </x:c>
      <x:c r="G361" s="5" t="str">
        <x:v>—</x:v>
      </x:c>
      <x:c r="H361" s="5" t="str">
        <x:v>Без исходного файла</x:v>
      </x:c>
      <x:c r="I361" s="6" t="n">
        <x:v>429</x:v>
      </x:c>
      <x:c r="J361" s="6" t="n">
        <x:v>429</x:v>
      </x:c>
      <x:c r="K361" s="5" t="str">
        <x:v>Точная цена в редакторе</x:v>
      </x:c>
      <x:c r="L361" s="5" t="str">
        <x:v>видео</x:v>
      </x:c>
      <x:c r="M361" s="7" t="n">
        <x:f>IF(J361="","",ROUND(J361*Tariffs!$D$5,2))</x:f>
        <x:v>356.79</x:v>
      </x:c>
      <x:c r="N361" s="7" t="n">
        <x:f>IF(J361="","",ROUND(J361*Tariffs!$D$6,2))</x:f>
        <x:v>357.14</x:v>
      </x:c>
      <x:c r="O361" s="7" t="n">
        <x:f>IF(J361="","",ROUND(J361*Tariffs!$D$7,2))</x:f>
        <x:v>357.43</x:v>
      </x:c>
      <x:c r="P361" s="5" t="str">
        <x:v>https://neuromia.ru/app/video/minimax</x:v>
      </x:c>
      <x:c r="Q361" s="8" t="n">
        <x:v>46282.375</x:v>
      </x:c>
      <x:c r="R361" s="5" t="str"/>
    </x:row>
    <x:row r="362" ht="22" customHeight="1">
      <x:c r="A362" s="5" t="str">
        <x:v>Видео</x:v>
      </x:c>
      <x:c r="B362" s="5" t="str">
        <x:v>Kling 3.0</x:v>
      </x:c>
      <x:c r="C362" s="5" t="str">
        <x:v>Текст → видео</x:v>
      </x:c>
      <x:c r="D362" s="5" t="str">
        <x:v>720p</x:v>
      </x:c>
      <x:c r="E362" s="5" t="str">
        <x:v>—</x:v>
      </x:c>
      <x:c r="F362" s="5" t="n">
        <x:v>5</x:v>
      </x:c>
      <x:c r="G362" s="5" t="str">
        <x:v>выключен</x:v>
      </x:c>
      <x:c r="H362" s="5" t="str">
        <x:v>Без исходного файла</x:v>
      </x:c>
      <x:c r="I362" s="6" t="n">
        <x:v>77</x:v>
      </x:c>
      <x:c r="J362" s="6" t="n">
        <x:v>77</x:v>
      </x:c>
      <x:c r="K362" s="5" t="str">
        <x:v>Точная цена в редакторе</x:v>
      </x:c>
      <x:c r="L362" s="5" t="str">
        <x:v>видео</x:v>
      </x:c>
      <x:c r="M362" s="7" t="n">
        <x:f>IF(J362="","",ROUND(J362*Tariffs!$D$5,2))</x:f>
        <x:v>64.04</x:v>
      </x:c>
      <x:c r="N362" s="7" t="n">
        <x:f>IF(J362="","",ROUND(J362*Tariffs!$D$6,2))</x:f>
        <x:v>64.1</x:v>
      </x:c>
      <x:c r="O362" s="7" t="n">
        <x:f>IF(J362="","",ROUND(J362*Tariffs!$D$7,2))</x:f>
        <x:v>64.15</x:v>
      </x:c>
      <x:c r="P362" s="5" t="str">
        <x:v>https://neuromia.ru/app/video/kling</x:v>
      </x:c>
      <x:c r="Q362" s="8" t="n">
        <x:v>46282.375</x:v>
      </x:c>
      <x:c r="R362" s="5" t="str"/>
    </x:row>
    <x:row r="363" ht="22" customHeight="1">
      <x:c r="A363" s="5" t="str">
        <x:v>Видео</x:v>
      </x:c>
      <x:c r="B363" s="5" t="str">
        <x:v>Kling 3.0</x:v>
      </x:c>
      <x:c r="C363" s="5" t="str">
        <x:v>Текст → видео</x:v>
      </x:c>
      <x:c r="D363" s="5" t="str">
        <x:v>720p</x:v>
      </x:c>
      <x:c r="E363" s="5" t="str">
        <x:v>—</x:v>
      </x:c>
      <x:c r="F363" s="5" t="n">
        <x:v>8</x:v>
      </x:c>
      <x:c r="G363" s="5" t="str">
        <x:v>выключен</x:v>
      </x:c>
      <x:c r="H363" s="5" t="str">
        <x:v>Без исходного файла</x:v>
      </x:c>
      <x:c r="I363" s="6" t="n">
        <x:v>123.2</x:v>
      </x:c>
      <x:c r="J363" s="6" t="n">
        <x:v>123.2</x:v>
      </x:c>
      <x:c r="K363" s="5" t="str">
        <x:v>Точная цена в редакторе</x:v>
      </x:c>
      <x:c r="L363" s="5" t="str">
        <x:v>видео</x:v>
      </x:c>
      <x:c r="M363" s="7" t="n">
        <x:f>IF(J363="","",ROUND(J363*Tariffs!$D$5,2))</x:f>
        <x:v>102.46</x:v>
      </x:c>
      <x:c r="N363" s="7" t="n">
        <x:f>IF(J363="","",ROUND(J363*Tariffs!$D$6,2))</x:f>
        <x:v>102.56</x:v>
      </x:c>
      <x:c r="O363" s="7" t="n">
        <x:f>IF(J363="","",ROUND(J363*Tariffs!$D$7,2))</x:f>
        <x:v>102.65</x:v>
      </x:c>
      <x:c r="P363" s="5" t="str">
        <x:v>https://neuromia.ru/app/video/kling</x:v>
      </x:c>
      <x:c r="Q363" s="8" t="n">
        <x:v>46282.375</x:v>
      </x:c>
      <x:c r="R363" s="5" t="str"/>
    </x:row>
    <x:row r="364" ht="22" customHeight="1">
      <x:c r="A364" s="5" t="str">
        <x:v>Видео</x:v>
      </x:c>
      <x:c r="B364" s="5" t="str">
        <x:v>Kling 3.0</x:v>
      </x:c>
      <x:c r="C364" s="5" t="str">
        <x:v>Текст → видео</x:v>
      </x:c>
      <x:c r="D364" s="5" t="str">
        <x:v>720p</x:v>
      </x:c>
      <x:c r="E364" s="5" t="str">
        <x:v>—</x:v>
      </x:c>
      <x:c r="F364" s="5" t="n">
        <x:v>10</x:v>
      </x:c>
      <x:c r="G364" s="5" t="str">
        <x:v>выключен</x:v>
      </x:c>
      <x:c r="H364" s="5" t="str">
        <x:v>Без исходного файла</x:v>
      </x:c>
      <x:c r="I364" s="6" t="n">
        <x:v>154</x:v>
      </x:c>
      <x:c r="J364" s="6" t="n">
        <x:v>154</x:v>
      </x:c>
      <x:c r="K364" s="5" t="str">
        <x:v>Точная цена в редакторе</x:v>
      </x:c>
      <x:c r="L364" s="5" t="str">
        <x:v>видео</x:v>
      </x:c>
      <x:c r="M364" s="7" t="n">
        <x:f>IF(J364="","",ROUND(J364*Tariffs!$D$5,2))</x:f>
        <x:v>128.08</x:v>
      </x:c>
      <x:c r="N364" s="7" t="n">
        <x:f>IF(J364="","",ROUND(J364*Tariffs!$D$6,2))</x:f>
        <x:v>128.21</x:v>
      </x:c>
      <x:c r="O364" s="7" t="n">
        <x:f>IF(J364="","",ROUND(J364*Tariffs!$D$7,2))</x:f>
        <x:v>128.31</x:v>
      </x:c>
      <x:c r="P364" s="5" t="str">
        <x:v>https://neuromia.ru/app/video/kling</x:v>
      </x:c>
      <x:c r="Q364" s="8" t="n">
        <x:v>46282.375</x:v>
      </x:c>
      <x:c r="R364" s="5" t="str"/>
    </x:row>
    <x:row r="365" ht="22" customHeight="1">
      <x:c r="A365" s="5" t="str">
        <x:v>Видео</x:v>
      </x:c>
      <x:c r="B365" s="5" t="str">
        <x:v>Kling 3.0</x:v>
      </x:c>
      <x:c r="C365" s="5" t="str">
        <x:v>Текст → видео</x:v>
      </x:c>
      <x:c r="D365" s="5" t="str">
        <x:v>720p</x:v>
      </x:c>
      <x:c r="E365" s="5" t="str">
        <x:v>—</x:v>
      </x:c>
      <x:c r="F365" s="5" t="n">
        <x:v>15</x:v>
      </x:c>
      <x:c r="G365" s="5" t="str">
        <x:v>выключен</x:v>
      </x:c>
      <x:c r="H365" s="5" t="str">
        <x:v>Без исходного файла</x:v>
      </x:c>
      <x:c r="I365" s="6" t="n">
        <x:v>231</x:v>
      </x:c>
      <x:c r="J365" s="6" t="n">
        <x:v>231</x:v>
      </x:c>
      <x:c r="K365" s="5" t="str">
        <x:v>Точная цена в редакторе</x:v>
      </x:c>
      <x:c r="L365" s="5" t="str">
        <x:v>видео</x:v>
      </x:c>
      <x:c r="M365" s="7" t="n">
        <x:f>IF(J365="","",ROUND(J365*Tariffs!$D$5,2))</x:f>
        <x:v>192.12</x:v>
      </x:c>
      <x:c r="N365" s="7" t="n">
        <x:f>IF(J365="","",ROUND(J365*Tariffs!$D$6,2))</x:f>
        <x:v>192.31</x:v>
      </x:c>
      <x:c r="O365" s="7" t="n">
        <x:f>IF(J365="","",ROUND(J365*Tariffs!$D$7,2))</x:f>
        <x:v>192.46</x:v>
      </x:c>
      <x:c r="P365" s="5" t="str">
        <x:v>https://neuromia.ru/app/video/kling</x:v>
      </x:c>
      <x:c r="Q365" s="8" t="n">
        <x:v>46282.375</x:v>
      </x:c>
      <x:c r="R365" s="5" t="str"/>
    </x:row>
    <x:row r="366" ht="22" customHeight="1">
      <x:c r="A366" s="5" t="str">
        <x:v>Видео</x:v>
      </x:c>
      <x:c r="B366" s="5" t="str">
        <x:v>Kling 3.0</x:v>
      </x:c>
      <x:c r="C366" s="5" t="str">
        <x:v>Текст → видео</x:v>
      </x:c>
      <x:c r="D366" s="5" t="str">
        <x:v>720p</x:v>
      </x:c>
      <x:c r="E366" s="5" t="str">
        <x:v>—</x:v>
      </x:c>
      <x:c r="F366" s="5" t="n">
        <x:v>5</x:v>
      </x:c>
      <x:c r="G366" s="5" t="str">
        <x:v>включен</x:v>
      </x:c>
      <x:c r="H366" s="5" t="str">
        <x:v>Без исходного файла</x:v>
      </x:c>
      <x:c r="I366" s="6" t="n">
        <x:v>110</x:v>
      </x:c>
      <x:c r="J366" s="6" t="n">
        <x:v>110</x:v>
      </x:c>
      <x:c r="K366" s="5" t="str">
        <x:v>Точная цена в редакторе</x:v>
      </x:c>
      <x:c r="L366" s="5" t="str">
        <x:v>видео</x:v>
      </x:c>
      <x:c r="M366" s="7" t="n">
        <x:f>IF(J366="","",ROUND(J366*Tariffs!$D$5,2))</x:f>
        <x:v>91.48</x:v>
      </x:c>
      <x:c r="N366" s="7" t="n">
        <x:f>IF(J366="","",ROUND(J366*Tariffs!$D$6,2))</x:f>
        <x:v>91.58</x:v>
      </x:c>
      <x:c r="O366" s="7" t="n">
        <x:f>IF(J366="","",ROUND(J366*Tariffs!$D$7,2))</x:f>
        <x:v>91.65</x:v>
      </x:c>
      <x:c r="P366" s="5" t="str">
        <x:v>https://neuromia.ru/app/video/kling</x:v>
      </x:c>
      <x:c r="Q366" s="8" t="n">
        <x:v>46282.375</x:v>
      </x:c>
      <x:c r="R366" s="5" t="str"/>
    </x:row>
    <x:row r="367" ht="22" customHeight="1">
      <x:c r="A367" s="5" t="str">
        <x:v>Видео</x:v>
      </x:c>
      <x:c r="B367" s="5" t="str">
        <x:v>Kling 3.0</x:v>
      </x:c>
      <x:c r="C367" s="5" t="str">
        <x:v>Текст → видео</x:v>
      </x:c>
      <x:c r="D367" s="5" t="str">
        <x:v>720p</x:v>
      </x:c>
      <x:c r="E367" s="5" t="str">
        <x:v>—</x:v>
      </x:c>
      <x:c r="F367" s="5" t="n">
        <x:v>8</x:v>
      </x:c>
      <x:c r="G367" s="5" t="str">
        <x:v>включен</x:v>
      </x:c>
      <x:c r="H367" s="5" t="str">
        <x:v>Без исходного файла</x:v>
      </x:c>
      <x:c r="I367" s="6" t="n">
        <x:v>176</x:v>
      </x:c>
      <x:c r="J367" s="6" t="n">
        <x:v>176</x:v>
      </x:c>
      <x:c r="K367" s="5" t="str">
        <x:v>Точная цена в редакторе</x:v>
      </x:c>
      <x:c r="L367" s="5" t="str">
        <x:v>видео</x:v>
      </x:c>
      <x:c r="M367" s="7" t="n">
        <x:f>IF(J367="","",ROUND(J367*Tariffs!$D$5,2))</x:f>
        <x:v>146.37</x:v>
      </x:c>
      <x:c r="N367" s="7" t="n">
        <x:f>IF(J367="","",ROUND(J367*Tariffs!$D$6,2))</x:f>
        <x:v>146.52</x:v>
      </x:c>
      <x:c r="O367" s="7" t="n">
        <x:f>IF(J367="","",ROUND(J367*Tariffs!$D$7,2))</x:f>
        <x:v>146.64</x:v>
      </x:c>
      <x:c r="P367" s="5" t="str">
        <x:v>https://neuromia.ru/app/video/kling</x:v>
      </x:c>
      <x:c r="Q367" s="8" t="n">
        <x:v>46282.375</x:v>
      </x:c>
      <x:c r="R367" s="5" t="str"/>
    </x:row>
    <x:row r="368" ht="22" customHeight="1">
      <x:c r="A368" s="5" t="str">
        <x:v>Видео</x:v>
      </x:c>
      <x:c r="B368" s="5" t="str">
        <x:v>Kling 3.0</x:v>
      </x:c>
      <x:c r="C368" s="5" t="str">
        <x:v>Текст → видео</x:v>
      </x:c>
      <x:c r="D368" s="5" t="str">
        <x:v>720p</x:v>
      </x:c>
      <x:c r="E368" s="5" t="str">
        <x:v>—</x:v>
      </x:c>
      <x:c r="F368" s="5" t="n">
        <x:v>10</x:v>
      </x:c>
      <x:c r="G368" s="5" t="str">
        <x:v>включен</x:v>
      </x:c>
      <x:c r="H368" s="5" t="str">
        <x:v>Без исходного файла</x:v>
      </x:c>
      <x:c r="I368" s="6" t="n">
        <x:v>220</x:v>
      </x:c>
      <x:c r="J368" s="6" t="n">
        <x:v>220</x:v>
      </x:c>
      <x:c r="K368" s="5" t="str">
        <x:v>Точная цена в редакторе</x:v>
      </x:c>
      <x:c r="L368" s="5" t="str">
        <x:v>видео</x:v>
      </x:c>
      <x:c r="M368" s="7" t="n">
        <x:f>IF(J368="","",ROUND(J368*Tariffs!$D$5,2))</x:f>
        <x:v>182.97</x:v>
      </x:c>
      <x:c r="N368" s="7" t="n">
        <x:f>IF(J368="","",ROUND(J368*Tariffs!$D$6,2))</x:f>
        <x:v>183.15</x:v>
      </x:c>
      <x:c r="O368" s="7" t="n">
        <x:f>IF(J368="","",ROUND(J368*Tariffs!$D$7,2))</x:f>
        <x:v>183.3</x:v>
      </x:c>
      <x:c r="P368" s="5" t="str">
        <x:v>https://neuromia.ru/app/video/kling</x:v>
      </x:c>
      <x:c r="Q368" s="8" t="n">
        <x:v>46282.375</x:v>
      </x:c>
      <x:c r="R368" s="5" t="str"/>
    </x:row>
    <x:row r="369" ht="22" customHeight="1">
      <x:c r="A369" s="5" t="str">
        <x:v>Видео</x:v>
      </x:c>
      <x:c r="B369" s="5" t="str">
        <x:v>Kling 3.0</x:v>
      </x:c>
      <x:c r="C369" s="5" t="str">
        <x:v>Текст → видео</x:v>
      </x:c>
      <x:c r="D369" s="5" t="str">
        <x:v>720p</x:v>
      </x:c>
      <x:c r="E369" s="5" t="str">
        <x:v>—</x:v>
      </x:c>
      <x:c r="F369" s="5" t="n">
        <x:v>15</x:v>
      </x:c>
      <x:c r="G369" s="5" t="str">
        <x:v>включен</x:v>
      </x:c>
      <x:c r="H369" s="5" t="str">
        <x:v>Без исходного файла</x:v>
      </x:c>
      <x:c r="I369" s="6" t="n">
        <x:v>330</x:v>
      </x:c>
      <x:c r="J369" s="6" t="n">
        <x:v>330</x:v>
      </x:c>
      <x:c r="K369" s="5" t="str">
        <x:v>Точная цена в редакторе</x:v>
      </x:c>
      <x:c r="L369" s="5" t="str">
        <x:v>видео</x:v>
      </x:c>
      <x:c r="M369" s="7" t="n">
        <x:f>IF(J369="","",ROUND(J369*Tariffs!$D$5,2))</x:f>
        <x:v>274.45</x:v>
      </x:c>
      <x:c r="N369" s="7" t="n">
        <x:f>IF(J369="","",ROUND(J369*Tariffs!$D$6,2))</x:f>
        <x:v>274.73</x:v>
      </x:c>
      <x:c r="O369" s="7" t="n">
        <x:f>IF(J369="","",ROUND(J369*Tariffs!$D$7,2))</x:f>
        <x:v>274.95</x:v>
      </x:c>
      <x:c r="P369" s="5" t="str">
        <x:v>https://neuromia.ru/app/video/kling</x:v>
      </x:c>
      <x:c r="Q369" s="8" t="n">
        <x:v>46282.375</x:v>
      </x:c>
      <x:c r="R369" s="5" t="str"/>
    </x:row>
    <x:row r="370" ht="22" customHeight="1">
      <x:c r="A370" s="5" t="str">
        <x:v>Видео</x:v>
      </x:c>
      <x:c r="B370" s="5" t="str">
        <x:v>Kling 3.0</x:v>
      </x:c>
      <x:c r="C370" s="5" t="str">
        <x:v>Текст → видео</x:v>
      </x:c>
      <x:c r="D370" s="5" t="str">
        <x:v>1080p</x:v>
      </x:c>
      <x:c r="E370" s="5" t="str">
        <x:v>—</x:v>
      </x:c>
      <x:c r="F370" s="5" t="n">
        <x:v>5</x:v>
      </x:c>
      <x:c r="G370" s="5" t="str">
        <x:v>выключен</x:v>
      </x:c>
      <x:c r="H370" s="5" t="str">
        <x:v>Без исходного файла</x:v>
      </x:c>
      <x:c r="I370" s="6" t="n">
        <x:v>99</x:v>
      </x:c>
      <x:c r="J370" s="6" t="n">
        <x:v>99</x:v>
      </x:c>
      <x:c r="K370" s="5" t="str">
        <x:v>Точная цена в редакторе</x:v>
      </x:c>
      <x:c r="L370" s="5" t="str">
        <x:v>видео</x:v>
      </x:c>
      <x:c r="M370" s="7" t="n">
        <x:f>IF(J370="","",ROUND(J370*Tariffs!$D$5,2))</x:f>
        <x:v>82.34</x:v>
      </x:c>
      <x:c r="N370" s="7" t="n">
        <x:f>IF(J370="","",ROUND(J370*Tariffs!$D$6,2))</x:f>
        <x:v>82.42</x:v>
      </x:c>
      <x:c r="O370" s="7" t="n">
        <x:f>IF(J370="","",ROUND(J370*Tariffs!$D$7,2))</x:f>
        <x:v>82.48</x:v>
      </x:c>
      <x:c r="P370" s="5" t="str">
        <x:v>https://neuromia.ru/app/video/kling</x:v>
      </x:c>
      <x:c r="Q370" s="8" t="n">
        <x:v>46282.375</x:v>
      </x:c>
      <x:c r="R370" s="5" t="str"/>
    </x:row>
    <x:row r="371" ht="22" customHeight="1">
      <x:c r="A371" s="5" t="str">
        <x:v>Видео</x:v>
      </x:c>
      <x:c r="B371" s="5" t="str">
        <x:v>Kling 3.0</x:v>
      </x:c>
      <x:c r="C371" s="5" t="str">
        <x:v>Текст → видео</x:v>
      </x:c>
      <x:c r="D371" s="5" t="str">
        <x:v>1080p</x:v>
      </x:c>
      <x:c r="E371" s="5" t="str">
        <x:v>—</x:v>
      </x:c>
      <x:c r="F371" s="5" t="n">
        <x:v>8</x:v>
      </x:c>
      <x:c r="G371" s="5" t="str">
        <x:v>выключен</x:v>
      </x:c>
      <x:c r="H371" s="5" t="str">
        <x:v>Без исходного файла</x:v>
      </x:c>
      <x:c r="I371" s="6" t="n">
        <x:v>158.4</x:v>
      </x:c>
      <x:c r="J371" s="6" t="n">
        <x:v>158.4</x:v>
      </x:c>
      <x:c r="K371" s="5" t="str">
        <x:v>Точная цена в редакторе</x:v>
      </x:c>
      <x:c r="L371" s="5" t="str">
        <x:v>видео</x:v>
      </x:c>
      <x:c r="M371" s="7" t="n">
        <x:f>IF(J371="","",ROUND(J371*Tariffs!$D$5,2))</x:f>
        <x:v>131.74</x:v>
      </x:c>
      <x:c r="N371" s="7" t="n">
        <x:f>IF(J371="","",ROUND(J371*Tariffs!$D$6,2))</x:f>
        <x:v>131.87</x:v>
      </x:c>
      <x:c r="O371" s="7" t="n">
        <x:f>IF(J371="","",ROUND(J371*Tariffs!$D$7,2))</x:f>
        <x:v>131.97</x:v>
      </x:c>
      <x:c r="P371" s="5" t="str">
        <x:v>https://neuromia.ru/app/video/kling</x:v>
      </x:c>
      <x:c r="Q371" s="8" t="n">
        <x:v>46282.375</x:v>
      </x:c>
      <x:c r="R371" s="5" t="str"/>
    </x:row>
    <x:row r="372" ht="22" customHeight="1">
      <x:c r="A372" s="5" t="str">
        <x:v>Видео</x:v>
      </x:c>
      <x:c r="B372" s="5" t="str">
        <x:v>Kling 3.0</x:v>
      </x:c>
      <x:c r="C372" s="5" t="str">
        <x:v>Текст → видео</x:v>
      </x:c>
      <x:c r="D372" s="5" t="str">
        <x:v>1080p</x:v>
      </x:c>
      <x:c r="E372" s="5" t="str">
        <x:v>—</x:v>
      </x:c>
      <x:c r="F372" s="5" t="n">
        <x:v>10</x:v>
      </x:c>
      <x:c r="G372" s="5" t="str">
        <x:v>выключен</x:v>
      </x:c>
      <x:c r="H372" s="5" t="str">
        <x:v>Без исходного файла</x:v>
      </x:c>
      <x:c r="I372" s="6" t="n">
        <x:v>198</x:v>
      </x:c>
      <x:c r="J372" s="6" t="n">
        <x:v>198</x:v>
      </x:c>
      <x:c r="K372" s="5" t="str">
        <x:v>Точная цена в редакторе</x:v>
      </x:c>
      <x:c r="L372" s="5" t="str">
        <x:v>видео</x:v>
      </x:c>
      <x:c r="M372" s="7" t="n">
        <x:f>IF(J372="","",ROUND(J372*Tariffs!$D$5,2))</x:f>
        <x:v>164.67</x:v>
      </x:c>
      <x:c r="N372" s="7" t="n">
        <x:f>IF(J372="","",ROUND(J372*Tariffs!$D$6,2))</x:f>
        <x:v>164.84</x:v>
      </x:c>
      <x:c r="O372" s="7" t="n">
        <x:f>IF(J372="","",ROUND(J372*Tariffs!$D$7,2))</x:f>
        <x:v>164.97</x:v>
      </x:c>
      <x:c r="P372" s="5" t="str">
        <x:v>https://neuromia.ru/app/video/kling</x:v>
      </x:c>
      <x:c r="Q372" s="8" t="n">
        <x:v>46282.375</x:v>
      </x:c>
      <x:c r="R372" s="5" t="str"/>
    </x:row>
    <x:row r="373" ht="22" customHeight="1">
      <x:c r="A373" s="5" t="str">
        <x:v>Видео</x:v>
      </x:c>
      <x:c r="B373" s="5" t="str">
        <x:v>Kling 3.0</x:v>
      </x:c>
      <x:c r="C373" s="5" t="str">
        <x:v>Текст → видео</x:v>
      </x:c>
      <x:c r="D373" s="5" t="str">
        <x:v>1080p</x:v>
      </x:c>
      <x:c r="E373" s="5" t="str">
        <x:v>—</x:v>
      </x:c>
      <x:c r="F373" s="5" t="n">
        <x:v>15</x:v>
      </x:c>
      <x:c r="G373" s="5" t="str">
        <x:v>выключен</x:v>
      </x:c>
      <x:c r="H373" s="5" t="str">
        <x:v>Без исходного файла</x:v>
      </x:c>
      <x:c r="I373" s="6" t="n">
        <x:v>297</x:v>
      </x:c>
      <x:c r="J373" s="6" t="n">
        <x:v>297</x:v>
      </x:c>
      <x:c r="K373" s="5" t="str">
        <x:v>Точная цена в редакторе</x:v>
      </x:c>
      <x:c r="L373" s="5" t="str">
        <x:v>видео</x:v>
      </x:c>
      <x:c r="M373" s="7" t="n">
        <x:f>IF(J373="","",ROUND(J373*Tariffs!$D$5,2))</x:f>
        <x:v>247.01</x:v>
      </x:c>
      <x:c r="N373" s="7" t="n">
        <x:f>IF(J373="","",ROUND(J373*Tariffs!$D$6,2))</x:f>
        <x:v>247.25</x:v>
      </x:c>
      <x:c r="O373" s="7" t="n">
        <x:f>IF(J373="","",ROUND(J373*Tariffs!$D$7,2))</x:f>
        <x:v>247.45</x:v>
      </x:c>
      <x:c r="P373" s="5" t="str">
        <x:v>https://neuromia.ru/app/video/kling</x:v>
      </x:c>
      <x:c r="Q373" s="8" t="n">
        <x:v>46282.375</x:v>
      </x:c>
      <x:c r="R373" s="5" t="str"/>
    </x:row>
    <x:row r="374" ht="22" customHeight="1">
      <x:c r="A374" s="5" t="str">
        <x:v>Видео</x:v>
      </x:c>
      <x:c r="B374" s="5" t="str">
        <x:v>Kling 3.0</x:v>
      </x:c>
      <x:c r="C374" s="5" t="str">
        <x:v>Текст → видео</x:v>
      </x:c>
      <x:c r="D374" s="5" t="str">
        <x:v>1080p</x:v>
      </x:c>
      <x:c r="E374" s="5" t="str">
        <x:v>—</x:v>
      </x:c>
      <x:c r="F374" s="5" t="n">
        <x:v>5</x:v>
      </x:c>
      <x:c r="G374" s="5" t="str">
        <x:v>включен</x:v>
      </x:c>
      <x:c r="H374" s="5" t="str">
        <x:v>Без исходного файла</x:v>
      </x:c>
      <x:c r="I374" s="6" t="n">
        <x:v>148.5</x:v>
      </x:c>
      <x:c r="J374" s="6" t="n">
        <x:v>148.5</x:v>
      </x:c>
      <x:c r="K374" s="5" t="str">
        <x:v>Точная цена в редакторе</x:v>
      </x:c>
      <x:c r="L374" s="5" t="str">
        <x:v>видео</x:v>
      </x:c>
      <x:c r="M374" s="7" t="n">
        <x:f>IF(J374="","",ROUND(J374*Tariffs!$D$5,2))</x:f>
        <x:v>123.5</x:v>
      </x:c>
      <x:c r="N374" s="7" t="n">
        <x:f>IF(J374="","",ROUND(J374*Tariffs!$D$6,2))</x:f>
        <x:v>123.63</x:v>
      </x:c>
      <x:c r="O374" s="7" t="n">
        <x:f>IF(J374="","",ROUND(J374*Tariffs!$D$7,2))</x:f>
        <x:v>123.73</x:v>
      </x:c>
      <x:c r="P374" s="5" t="str">
        <x:v>https://neuromia.ru/app/video/kling</x:v>
      </x:c>
      <x:c r="Q374" s="8" t="n">
        <x:v>46282.375</x:v>
      </x:c>
      <x:c r="R374" s="5" t="str"/>
    </x:row>
    <x:row r="375" ht="22" customHeight="1">
      <x:c r="A375" s="5" t="str">
        <x:v>Видео</x:v>
      </x:c>
      <x:c r="B375" s="5" t="str">
        <x:v>Kling 3.0</x:v>
      </x:c>
      <x:c r="C375" s="5" t="str">
        <x:v>Текст → видео</x:v>
      </x:c>
      <x:c r="D375" s="5" t="str">
        <x:v>1080p</x:v>
      </x:c>
      <x:c r="E375" s="5" t="str">
        <x:v>—</x:v>
      </x:c>
      <x:c r="F375" s="5" t="n">
        <x:v>8</x:v>
      </x:c>
      <x:c r="G375" s="5" t="str">
        <x:v>включен</x:v>
      </x:c>
      <x:c r="H375" s="5" t="str">
        <x:v>Без исходного файла</x:v>
      </x:c>
      <x:c r="I375" s="6" t="n">
        <x:v>237.6</x:v>
      </x:c>
      <x:c r="J375" s="6" t="n">
        <x:v>237.6</x:v>
      </x:c>
      <x:c r="K375" s="5" t="str">
        <x:v>Точная цена в редакторе</x:v>
      </x:c>
      <x:c r="L375" s="5" t="str">
        <x:v>видео</x:v>
      </x:c>
      <x:c r="M375" s="7" t="n">
        <x:f>IF(J375="","",ROUND(J375*Tariffs!$D$5,2))</x:f>
        <x:v>197.6</x:v>
      </x:c>
      <x:c r="N375" s="7" t="n">
        <x:f>IF(J375="","",ROUND(J375*Tariffs!$D$6,2))</x:f>
        <x:v>197.8</x:v>
      </x:c>
      <x:c r="O375" s="7" t="n">
        <x:f>IF(J375="","",ROUND(J375*Tariffs!$D$7,2))</x:f>
        <x:v>197.96</x:v>
      </x:c>
      <x:c r="P375" s="5" t="str">
        <x:v>https://neuromia.ru/app/video/kling</x:v>
      </x:c>
      <x:c r="Q375" s="8" t="n">
        <x:v>46282.375</x:v>
      </x:c>
      <x:c r="R375" s="5" t="str"/>
    </x:row>
    <x:row r="376" ht="22" customHeight="1">
      <x:c r="A376" s="5" t="str">
        <x:v>Видео</x:v>
      </x:c>
      <x:c r="B376" s="5" t="str">
        <x:v>Kling 3.0</x:v>
      </x:c>
      <x:c r="C376" s="5" t="str">
        <x:v>Текст → видео</x:v>
      </x:c>
      <x:c r="D376" s="5" t="str">
        <x:v>1080p</x:v>
      </x:c>
      <x:c r="E376" s="5" t="str">
        <x:v>—</x:v>
      </x:c>
      <x:c r="F376" s="5" t="n">
        <x:v>10</x:v>
      </x:c>
      <x:c r="G376" s="5" t="str">
        <x:v>включен</x:v>
      </x:c>
      <x:c r="H376" s="5" t="str">
        <x:v>Без исходного файла</x:v>
      </x:c>
      <x:c r="I376" s="6" t="n">
        <x:v>297</x:v>
      </x:c>
      <x:c r="J376" s="6" t="n">
        <x:v>297</x:v>
      </x:c>
      <x:c r="K376" s="5" t="str">
        <x:v>Точная цена в редакторе</x:v>
      </x:c>
      <x:c r="L376" s="5" t="str">
        <x:v>видео</x:v>
      </x:c>
      <x:c r="M376" s="7" t="n">
        <x:f>IF(J376="","",ROUND(J376*Tariffs!$D$5,2))</x:f>
        <x:v>247.01</x:v>
      </x:c>
      <x:c r="N376" s="7" t="n">
        <x:f>IF(J376="","",ROUND(J376*Tariffs!$D$6,2))</x:f>
        <x:v>247.25</x:v>
      </x:c>
      <x:c r="O376" s="7" t="n">
        <x:f>IF(J376="","",ROUND(J376*Tariffs!$D$7,2))</x:f>
        <x:v>247.45</x:v>
      </x:c>
      <x:c r="P376" s="5" t="str">
        <x:v>https://neuromia.ru/app/video/kling</x:v>
      </x:c>
      <x:c r="Q376" s="8" t="n">
        <x:v>46282.375</x:v>
      </x:c>
      <x:c r="R376" s="5" t="str"/>
    </x:row>
    <x:row r="377" ht="22" customHeight="1">
      <x:c r="A377" s="5" t="str">
        <x:v>Видео</x:v>
      </x:c>
      <x:c r="B377" s="5" t="str">
        <x:v>Kling 3.0</x:v>
      </x:c>
      <x:c r="C377" s="5" t="str">
        <x:v>Текст → видео</x:v>
      </x:c>
      <x:c r="D377" s="5" t="str">
        <x:v>1080p</x:v>
      </x:c>
      <x:c r="E377" s="5" t="str">
        <x:v>—</x:v>
      </x:c>
      <x:c r="F377" s="5" t="n">
        <x:v>15</x:v>
      </x:c>
      <x:c r="G377" s="5" t="str">
        <x:v>включен</x:v>
      </x:c>
      <x:c r="H377" s="5" t="str">
        <x:v>Без исходного файла</x:v>
      </x:c>
      <x:c r="I377" s="6" t="n">
        <x:v>445.5</x:v>
      </x:c>
      <x:c r="J377" s="6" t="n">
        <x:v>445.5</x:v>
      </x:c>
      <x:c r="K377" s="5" t="str">
        <x:v>Точная цена в редакторе</x:v>
      </x:c>
      <x:c r="L377" s="5" t="str">
        <x:v>видео</x:v>
      </x:c>
      <x:c r="M377" s="7" t="n">
        <x:f>IF(J377="","",ROUND(J377*Tariffs!$D$5,2))</x:f>
        <x:v>370.51</x:v>
      </x:c>
      <x:c r="N377" s="7" t="n">
        <x:f>IF(J377="","",ROUND(J377*Tariffs!$D$6,2))</x:f>
        <x:v>370.88</x:v>
      </x:c>
      <x:c r="O377" s="7" t="n">
        <x:f>IF(J377="","",ROUND(J377*Tariffs!$D$7,2))</x:f>
        <x:v>371.18</x:v>
      </x:c>
      <x:c r="P377" s="5" t="str">
        <x:v>https://neuromia.ru/app/video/kling</x:v>
      </x:c>
      <x:c r="Q377" s="8" t="n">
        <x:v>46282.375</x:v>
      </x:c>
      <x:c r="R377" s="5" t="str"/>
    </x:row>
    <x:row r="378" ht="22" customHeight="1">
      <x:c r="A378" s="5" t="str">
        <x:v>Видео</x:v>
      </x:c>
      <x:c r="B378" s="5" t="str">
        <x:v>Kling 3.0</x:v>
      </x:c>
      <x:c r="C378" s="5" t="str">
        <x:v>Текст → видео</x:v>
      </x:c>
      <x:c r="D378" s="5" t="str">
        <x:v>4K</x:v>
      </x:c>
      <x:c r="E378" s="5" t="str">
        <x:v>—</x:v>
      </x:c>
      <x:c r="F378" s="5" t="n">
        <x:v>5</x:v>
      </x:c>
      <x:c r="G378" s="5" t="str">
        <x:v>выключен</x:v>
      </x:c>
      <x:c r="H378" s="5" t="str">
        <x:v>Без исходного файла</x:v>
      </x:c>
      <x:c r="I378" s="6" t="n">
        <x:v>368.5</x:v>
      </x:c>
      <x:c r="J378" s="6" t="n">
        <x:v>368.5</x:v>
      </x:c>
      <x:c r="K378" s="5" t="str">
        <x:v>Точная цена в редакторе</x:v>
      </x:c>
      <x:c r="L378" s="5" t="str">
        <x:v>видео</x:v>
      </x:c>
      <x:c r="M378" s="7" t="n">
        <x:f>IF(J378="","",ROUND(J378*Tariffs!$D$5,2))</x:f>
        <x:v>306.47</x:v>
      </x:c>
      <x:c r="N378" s="7" t="n">
        <x:f>IF(J378="","",ROUND(J378*Tariffs!$D$6,2))</x:f>
        <x:v>306.78</x:v>
      </x:c>
      <x:c r="O378" s="7" t="n">
        <x:f>IF(J378="","",ROUND(J378*Tariffs!$D$7,2))</x:f>
        <x:v>307.02</x:v>
      </x:c>
      <x:c r="P378" s="5" t="str">
        <x:v>https://neuromia.ru/app/video/kling</x:v>
      </x:c>
      <x:c r="Q378" s="8" t="n">
        <x:v>46282.375</x:v>
      </x:c>
      <x:c r="R378" s="5" t="str"/>
    </x:row>
    <x:row r="379" ht="22" customHeight="1">
      <x:c r="A379" s="5" t="str">
        <x:v>Видео</x:v>
      </x:c>
      <x:c r="B379" s="5" t="str">
        <x:v>Kling 3.0</x:v>
      </x:c>
      <x:c r="C379" s="5" t="str">
        <x:v>Текст → видео</x:v>
      </x:c>
      <x:c r="D379" s="5" t="str">
        <x:v>4K</x:v>
      </x:c>
      <x:c r="E379" s="5" t="str">
        <x:v>—</x:v>
      </x:c>
      <x:c r="F379" s="5" t="n">
        <x:v>8</x:v>
      </x:c>
      <x:c r="G379" s="5" t="str">
        <x:v>выключен</x:v>
      </x:c>
      <x:c r="H379" s="5" t="str">
        <x:v>Без исходного файла</x:v>
      </x:c>
      <x:c r="I379" s="6" t="n">
        <x:v>589.6</x:v>
      </x:c>
      <x:c r="J379" s="6" t="n">
        <x:v>589.6</x:v>
      </x:c>
      <x:c r="K379" s="5" t="str">
        <x:v>Точная цена в редакторе</x:v>
      </x:c>
      <x:c r="L379" s="5" t="str">
        <x:v>видео</x:v>
      </x:c>
      <x:c r="M379" s="7" t="n">
        <x:f>IF(J379="","",ROUND(J379*Tariffs!$D$5,2))</x:f>
        <x:v>490.35</x:v>
      </x:c>
      <x:c r="N379" s="7" t="n">
        <x:f>IF(J379="","",ROUND(J379*Tariffs!$D$6,2))</x:f>
        <x:v>490.84</x:v>
      </x:c>
      <x:c r="O379" s="7" t="n">
        <x:f>IF(J379="","",ROUND(J379*Tariffs!$D$7,2))</x:f>
        <x:v>491.24</x:v>
      </x:c>
      <x:c r="P379" s="5" t="str">
        <x:v>https://neuromia.ru/app/video/kling</x:v>
      </x:c>
      <x:c r="Q379" s="8" t="n">
        <x:v>46282.375</x:v>
      </x:c>
      <x:c r="R379" s="5" t="str"/>
    </x:row>
    <x:row r="380" ht="22" customHeight="1">
      <x:c r="A380" s="5" t="str">
        <x:v>Видео</x:v>
      </x:c>
      <x:c r="B380" s="5" t="str">
        <x:v>Kling 3.0</x:v>
      </x:c>
      <x:c r="C380" s="5" t="str">
        <x:v>Текст → видео</x:v>
      </x:c>
      <x:c r="D380" s="5" t="str">
        <x:v>4K</x:v>
      </x:c>
      <x:c r="E380" s="5" t="str">
        <x:v>—</x:v>
      </x:c>
      <x:c r="F380" s="5" t="n">
        <x:v>10</x:v>
      </x:c>
      <x:c r="G380" s="5" t="str">
        <x:v>выключен</x:v>
      </x:c>
      <x:c r="H380" s="5" t="str">
        <x:v>Без исходного файла</x:v>
      </x:c>
      <x:c r="I380" s="6" t="n">
        <x:v>737</x:v>
      </x:c>
      <x:c r="J380" s="6" t="n">
        <x:v>737</x:v>
      </x:c>
      <x:c r="K380" s="5" t="str">
        <x:v>Точная цена в редакторе</x:v>
      </x:c>
      <x:c r="L380" s="5" t="str">
        <x:v>видео</x:v>
      </x:c>
      <x:c r="M380" s="7" t="n">
        <x:f>IF(J380="","",ROUND(J380*Tariffs!$D$5,2))</x:f>
        <x:v>612.94</x:v>
      </x:c>
      <x:c r="N380" s="7" t="n">
        <x:f>IF(J380="","",ROUND(J380*Tariffs!$D$6,2))</x:f>
        <x:v>613.55</x:v>
      </x:c>
      <x:c r="O380" s="7" t="n">
        <x:f>IF(J380="","",ROUND(J380*Tariffs!$D$7,2))</x:f>
        <x:v>614.04</x:v>
      </x:c>
      <x:c r="P380" s="5" t="str">
        <x:v>https://neuromia.ru/app/video/kling</x:v>
      </x:c>
      <x:c r="Q380" s="8" t="n">
        <x:v>46282.375</x:v>
      </x:c>
      <x:c r="R380" s="5" t="str"/>
    </x:row>
    <x:row r="381" ht="22" customHeight="1">
      <x:c r="A381" s="5" t="str">
        <x:v>Видео</x:v>
      </x:c>
      <x:c r="B381" s="5" t="str">
        <x:v>Kling 3.0</x:v>
      </x:c>
      <x:c r="C381" s="5" t="str">
        <x:v>Текст → видео</x:v>
      </x:c>
      <x:c r="D381" s="5" t="str">
        <x:v>4K</x:v>
      </x:c>
      <x:c r="E381" s="5" t="str">
        <x:v>—</x:v>
      </x:c>
      <x:c r="F381" s="5" t="n">
        <x:v>15</x:v>
      </x:c>
      <x:c r="G381" s="5" t="str">
        <x:v>выключен</x:v>
      </x:c>
      <x:c r="H381" s="5" t="str">
        <x:v>Без исходного файла</x:v>
      </x:c>
      <x:c r="I381" s="6" t="n">
        <x:v>1105.5</x:v>
      </x:c>
      <x:c r="J381" s="6" t="n">
        <x:v>1105.5</x:v>
      </x:c>
      <x:c r="K381" s="5" t="str">
        <x:v>Точная цена в редакторе</x:v>
      </x:c>
      <x:c r="L381" s="5" t="str">
        <x:v>видео</x:v>
      </x:c>
      <x:c r="M381" s="7" t="n">
        <x:f>IF(J381="","",ROUND(J381*Tariffs!$D$5,2))</x:f>
        <x:v>919.41</x:v>
      </x:c>
      <x:c r="N381" s="7" t="n">
        <x:f>IF(J381="","",ROUND(J381*Tariffs!$D$6,2))</x:f>
        <x:v>920.33</x:v>
      </x:c>
      <x:c r="O381" s="7" t="n">
        <x:f>IF(J381="","",ROUND(J381*Tariffs!$D$7,2))</x:f>
        <x:v>921.07</x:v>
      </x:c>
      <x:c r="P381" s="5" t="str">
        <x:v>https://neuromia.ru/app/video/kling</x:v>
      </x:c>
      <x:c r="Q381" s="8" t="n">
        <x:v>46282.375</x:v>
      </x:c>
      <x:c r="R381" s="5" t="str"/>
    </x:row>
    <x:row r="382" ht="22" customHeight="1">
      <x:c r="A382" s="5" t="str">
        <x:v>Видео</x:v>
      </x:c>
      <x:c r="B382" s="5" t="str">
        <x:v>Kling 3.0</x:v>
      </x:c>
      <x:c r="C382" s="5" t="str">
        <x:v>Текст → видео</x:v>
      </x:c>
      <x:c r="D382" s="5" t="str">
        <x:v>4K</x:v>
      </x:c>
      <x:c r="E382" s="5" t="str">
        <x:v>—</x:v>
      </x:c>
      <x:c r="F382" s="5" t="n">
        <x:v>5</x:v>
      </x:c>
      <x:c r="G382" s="5" t="str">
        <x:v>включен</x:v>
      </x:c>
      <x:c r="H382" s="5" t="str">
        <x:v>Без исходного файла</x:v>
      </x:c>
      <x:c r="I382" s="6" t="n">
        <x:v>368.5</x:v>
      </x:c>
      <x:c r="J382" s="6" t="n">
        <x:v>368.5</x:v>
      </x:c>
      <x:c r="K382" s="5" t="str">
        <x:v>Точная цена в редакторе</x:v>
      </x:c>
      <x:c r="L382" s="5" t="str">
        <x:v>видео</x:v>
      </x:c>
      <x:c r="M382" s="7" t="n">
        <x:f>IF(J382="","",ROUND(J382*Tariffs!$D$5,2))</x:f>
        <x:v>306.47</x:v>
      </x:c>
      <x:c r="N382" s="7" t="n">
        <x:f>IF(J382="","",ROUND(J382*Tariffs!$D$6,2))</x:f>
        <x:v>306.78</x:v>
      </x:c>
      <x:c r="O382" s="7" t="n">
        <x:f>IF(J382="","",ROUND(J382*Tariffs!$D$7,2))</x:f>
        <x:v>307.02</x:v>
      </x:c>
      <x:c r="P382" s="5" t="str">
        <x:v>https://neuromia.ru/app/video/kling</x:v>
      </x:c>
      <x:c r="Q382" s="8" t="n">
        <x:v>46282.375</x:v>
      </x:c>
      <x:c r="R382" s="5" t="str"/>
    </x:row>
    <x:row r="383" ht="22" customHeight="1">
      <x:c r="A383" s="5" t="str">
        <x:v>Видео</x:v>
      </x:c>
      <x:c r="B383" s="5" t="str">
        <x:v>Kling 3.0</x:v>
      </x:c>
      <x:c r="C383" s="5" t="str">
        <x:v>Текст → видео</x:v>
      </x:c>
      <x:c r="D383" s="5" t="str">
        <x:v>4K</x:v>
      </x:c>
      <x:c r="E383" s="5" t="str">
        <x:v>—</x:v>
      </x:c>
      <x:c r="F383" s="5" t="n">
        <x:v>8</x:v>
      </x:c>
      <x:c r="G383" s="5" t="str">
        <x:v>включен</x:v>
      </x:c>
      <x:c r="H383" s="5" t="str">
        <x:v>Без исходного файла</x:v>
      </x:c>
      <x:c r="I383" s="6" t="n">
        <x:v>589.6</x:v>
      </x:c>
      <x:c r="J383" s="6" t="n">
        <x:v>589.6</x:v>
      </x:c>
      <x:c r="K383" s="5" t="str">
        <x:v>Точная цена в редакторе</x:v>
      </x:c>
      <x:c r="L383" s="5" t="str">
        <x:v>видео</x:v>
      </x:c>
      <x:c r="M383" s="7" t="n">
        <x:f>IF(J383="","",ROUND(J383*Tariffs!$D$5,2))</x:f>
        <x:v>490.35</x:v>
      </x:c>
      <x:c r="N383" s="7" t="n">
        <x:f>IF(J383="","",ROUND(J383*Tariffs!$D$6,2))</x:f>
        <x:v>490.84</x:v>
      </x:c>
      <x:c r="O383" s="7" t="n">
        <x:f>IF(J383="","",ROUND(J383*Tariffs!$D$7,2))</x:f>
        <x:v>491.24</x:v>
      </x:c>
      <x:c r="P383" s="5" t="str">
        <x:v>https://neuromia.ru/app/video/kling</x:v>
      </x:c>
      <x:c r="Q383" s="8" t="n">
        <x:v>46282.375</x:v>
      </x:c>
      <x:c r="R383" s="5" t="str"/>
    </x:row>
    <x:row r="384" ht="22" customHeight="1">
      <x:c r="A384" s="5" t="str">
        <x:v>Видео</x:v>
      </x:c>
      <x:c r="B384" s="5" t="str">
        <x:v>Kling 3.0</x:v>
      </x:c>
      <x:c r="C384" s="5" t="str">
        <x:v>Текст → видео</x:v>
      </x:c>
      <x:c r="D384" s="5" t="str">
        <x:v>4K</x:v>
      </x:c>
      <x:c r="E384" s="5" t="str">
        <x:v>—</x:v>
      </x:c>
      <x:c r="F384" s="5" t="n">
        <x:v>10</x:v>
      </x:c>
      <x:c r="G384" s="5" t="str">
        <x:v>включен</x:v>
      </x:c>
      <x:c r="H384" s="5" t="str">
        <x:v>Без исходного файла</x:v>
      </x:c>
      <x:c r="I384" s="6" t="n">
        <x:v>737</x:v>
      </x:c>
      <x:c r="J384" s="6" t="n">
        <x:v>737</x:v>
      </x:c>
      <x:c r="K384" s="5" t="str">
        <x:v>Точная цена в редакторе</x:v>
      </x:c>
      <x:c r="L384" s="5" t="str">
        <x:v>видео</x:v>
      </x:c>
      <x:c r="M384" s="7" t="n">
        <x:f>IF(J384="","",ROUND(J384*Tariffs!$D$5,2))</x:f>
        <x:v>612.94</x:v>
      </x:c>
      <x:c r="N384" s="7" t="n">
        <x:f>IF(J384="","",ROUND(J384*Tariffs!$D$6,2))</x:f>
        <x:v>613.55</x:v>
      </x:c>
      <x:c r="O384" s="7" t="n">
        <x:f>IF(J384="","",ROUND(J384*Tariffs!$D$7,2))</x:f>
        <x:v>614.04</x:v>
      </x:c>
      <x:c r="P384" s="5" t="str">
        <x:v>https://neuromia.ru/app/video/kling</x:v>
      </x:c>
      <x:c r="Q384" s="8" t="n">
        <x:v>46282.375</x:v>
      </x:c>
      <x:c r="R384" s="5" t="str"/>
    </x:row>
    <x:row r="385" ht="22" customHeight="1">
      <x:c r="A385" s="5" t="str">
        <x:v>Видео</x:v>
      </x:c>
      <x:c r="B385" s="5" t="str">
        <x:v>Kling 3.0</x:v>
      </x:c>
      <x:c r="C385" s="5" t="str">
        <x:v>Текст → видео</x:v>
      </x:c>
      <x:c r="D385" s="5" t="str">
        <x:v>4K</x:v>
      </x:c>
      <x:c r="E385" s="5" t="str">
        <x:v>—</x:v>
      </x:c>
      <x:c r="F385" s="5" t="n">
        <x:v>15</x:v>
      </x:c>
      <x:c r="G385" s="5" t="str">
        <x:v>включен</x:v>
      </x:c>
      <x:c r="H385" s="5" t="str">
        <x:v>Без исходного файла</x:v>
      </x:c>
      <x:c r="I385" s="6" t="n">
        <x:v>1105.5</x:v>
      </x:c>
      <x:c r="J385" s="6" t="n">
        <x:v>1105.5</x:v>
      </x:c>
      <x:c r="K385" s="5" t="str">
        <x:v>Точная цена в редакторе</x:v>
      </x:c>
      <x:c r="L385" s="5" t="str">
        <x:v>видео</x:v>
      </x:c>
      <x:c r="M385" s="7" t="n">
        <x:f>IF(J385="","",ROUND(J385*Tariffs!$D$5,2))</x:f>
        <x:v>919.41</x:v>
      </x:c>
      <x:c r="N385" s="7" t="n">
        <x:f>IF(J385="","",ROUND(J385*Tariffs!$D$6,2))</x:f>
        <x:v>920.33</x:v>
      </x:c>
      <x:c r="O385" s="7" t="n">
        <x:f>IF(J385="","",ROUND(J385*Tariffs!$D$7,2))</x:f>
        <x:v>921.07</x:v>
      </x:c>
      <x:c r="P385" s="5" t="str">
        <x:v>https://neuromia.ru/app/video/kling</x:v>
      </x:c>
      <x:c r="Q385" s="8" t="n">
        <x:v>46282.375</x:v>
      </x:c>
      <x:c r="R385" s="5" t="str"/>
    </x:row>
    <x:row r="386" ht="22" customHeight="1">
      <x:c r="A386" s="5" t="str">
        <x:v>Видео</x:v>
      </x:c>
      <x:c r="B386" s="5" t="str">
        <x:v>Kling 2.5 Turbo Pro</x:v>
      </x:c>
      <x:c r="C386" s="5" t="str">
        <x:v>Текст → видео</x:v>
      </x:c>
      <x:c r="D386" s="5" t="str">
        <x:v>—</x:v>
      </x:c>
      <x:c r="E386" s="5" t="str">
        <x:v>—</x:v>
      </x:c>
      <x:c r="F386" s="5" t="n">
        <x:v>5</x:v>
      </x:c>
      <x:c r="G386" s="5" t="str">
        <x:v>—</x:v>
      </x:c>
      <x:c r="H386" s="5" t="str">
        <x:v>Без исходного файла</x:v>
      </x:c>
      <x:c r="I386" s="6" t="n">
        <x:v>46.2</x:v>
      </x:c>
      <x:c r="J386" s="6" t="n">
        <x:v>46.2</x:v>
      </x:c>
      <x:c r="K386" s="5" t="str">
        <x:v>Точная цена в редакторе</x:v>
      </x:c>
      <x:c r="L386" s="5" t="str">
        <x:v>видео</x:v>
      </x:c>
      <x:c r="M386" s="7" t="n">
        <x:f>IF(J386="","",ROUND(J386*Tariffs!$D$5,2))</x:f>
        <x:v>38.42</x:v>
      </x:c>
      <x:c r="N386" s="7" t="n">
        <x:f>IF(J386="","",ROUND(J386*Tariffs!$D$6,2))</x:f>
        <x:v>38.46</x:v>
      </x:c>
      <x:c r="O386" s="7" t="n">
        <x:f>IF(J386="","",ROUND(J386*Tariffs!$D$7,2))</x:f>
        <x:v>38.49</x:v>
      </x:c>
      <x:c r="P386" s="5" t="str">
        <x:v>https://neuromia.ru/app/video/kling</x:v>
      </x:c>
      <x:c r="Q386" s="8" t="n">
        <x:v>46282.375</x:v>
      </x:c>
      <x:c r="R386" s="5" t="str"/>
    </x:row>
    <x:row r="387" ht="22" customHeight="1">
      <x:c r="A387" s="5" t="str">
        <x:v>Видео</x:v>
      </x:c>
      <x:c r="B387" s="5" t="str">
        <x:v>Kling 2.5 Turbo Pro</x:v>
      </x:c>
      <x:c r="C387" s="5" t="str">
        <x:v>Текст → видео</x:v>
      </x:c>
      <x:c r="D387" s="5" t="str">
        <x:v>—</x:v>
      </x:c>
      <x:c r="E387" s="5" t="str">
        <x:v>—</x:v>
      </x:c>
      <x:c r="F387" s="5" t="n">
        <x:v>10</x:v>
      </x:c>
      <x:c r="G387" s="5" t="str">
        <x:v>—</x:v>
      </x:c>
      <x:c r="H387" s="5" t="str">
        <x:v>Без исходного файла</x:v>
      </x:c>
      <x:c r="I387" s="6" t="n">
        <x:v>92.4</x:v>
      </x:c>
      <x:c r="J387" s="6" t="n">
        <x:v>92.4</x:v>
      </x:c>
      <x:c r="K387" s="5" t="str">
        <x:v>Точная цена в редакторе</x:v>
      </x:c>
      <x:c r="L387" s="5" t="str">
        <x:v>видео</x:v>
      </x:c>
      <x:c r="M387" s="7" t="n">
        <x:f>IF(J387="","",ROUND(J387*Tariffs!$D$5,2))</x:f>
        <x:v>76.85</x:v>
      </x:c>
      <x:c r="N387" s="7" t="n">
        <x:f>IF(J387="","",ROUND(J387*Tariffs!$D$6,2))</x:f>
        <x:v>76.92</x:v>
      </x:c>
      <x:c r="O387" s="7" t="n">
        <x:f>IF(J387="","",ROUND(J387*Tariffs!$D$7,2))</x:f>
        <x:v>76.98</x:v>
      </x:c>
      <x:c r="P387" s="5" t="str">
        <x:v>https://neuromia.ru/app/video/kling</x:v>
      </x:c>
      <x:c r="Q387" s="8" t="n">
        <x:v>46282.375</x:v>
      </x:c>
      <x:c r="R387" s="5" t="str"/>
    </x:row>
    <x:row r="388" ht="22" customHeight="1">
      <x:c r="A388" s="5" t="str">
        <x:v>Видео</x:v>
      </x:c>
      <x:c r="B388" s="5" t="str">
        <x:v>Kling 2.1 Master</x:v>
      </x:c>
      <x:c r="C388" s="5" t="str">
        <x:v>Текст → видео</x:v>
      </x:c>
      <x:c r="D388" s="5" t="str">
        <x:v>—</x:v>
      </x:c>
      <x:c r="E388" s="5" t="str">
        <x:v>—</x:v>
      </x:c>
      <x:c r="F388" s="5" t="n">
        <x:v>5</x:v>
      </x:c>
      <x:c r="G388" s="5" t="str">
        <x:v>—</x:v>
      </x:c>
      <x:c r="H388" s="5" t="str">
        <x:v>Без исходного файла</x:v>
      </x:c>
      <x:c r="I388" s="6" t="n">
        <x:v>176</x:v>
      </x:c>
      <x:c r="J388" s="6" t="n">
        <x:v>176</x:v>
      </x:c>
      <x:c r="K388" s="5" t="str">
        <x:v>Точная цена в редакторе</x:v>
      </x:c>
      <x:c r="L388" s="5" t="str">
        <x:v>видео</x:v>
      </x:c>
      <x:c r="M388" s="7" t="n">
        <x:f>IF(J388="","",ROUND(J388*Tariffs!$D$5,2))</x:f>
        <x:v>146.37</x:v>
      </x:c>
      <x:c r="N388" s="7" t="n">
        <x:f>IF(J388="","",ROUND(J388*Tariffs!$D$6,2))</x:f>
        <x:v>146.52</x:v>
      </x:c>
      <x:c r="O388" s="7" t="n">
        <x:f>IF(J388="","",ROUND(J388*Tariffs!$D$7,2))</x:f>
        <x:v>146.64</x:v>
      </x:c>
      <x:c r="P388" s="5" t="str">
        <x:v>https://neuromia.ru/app/video/kling</x:v>
      </x:c>
      <x:c r="Q388" s="8" t="n">
        <x:v>46282.375</x:v>
      </x:c>
      <x:c r="R388" s="5" t="str"/>
    </x:row>
    <x:row r="389" ht="22" customHeight="1">
      <x:c r="A389" s="5" t="str">
        <x:v>Видео</x:v>
      </x:c>
      <x:c r="B389" s="5" t="str">
        <x:v>Kling 2.1 Master</x:v>
      </x:c>
      <x:c r="C389" s="5" t="str">
        <x:v>Текст → видео</x:v>
      </x:c>
      <x:c r="D389" s="5" t="str">
        <x:v>—</x:v>
      </x:c>
      <x:c r="E389" s="5" t="str">
        <x:v>—</x:v>
      </x:c>
      <x:c r="F389" s="5" t="n">
        <x:v>10</x:v>
      </x:c>
      <x:c r="G389" s="5" t="str">
        <x:v>—</x:v>
      </x:c>
      <x:c r="H389" s="5" t="str">
        <x:v>Без исходного файла</x:v>
      </x:c>
      <x:c r="I389" s="6" t="n">
        <x:v>352</x:v>
      </x:c>
      <x:c r="J389" s="6" t="n">
        <x:v>352</x:v>
      </x:c>
      <x:c r="K389" s="5" t="str">
        <x:v>Точная цена в редакторе</x:v>
      </x:c>
      <x:c r="L389" s="5" t="str">
        <x:v>видео</x:v>
      </x:c>
      <x:c r="M389" s="7" t="n">
        <x:f>IF(J389="","",ROUND(J389*Tariffs!$D$5,2))</x:f>
        <x:v>292.75</x:v>
      </x:c>
      <x:c r="N389" s="7" t="n">
        <x:f>IF(J389="","",ROUND(J389*Tariffs!$D$6,2))</x:f>
        <x:v>293.04</x:v>
      </x:c>
      <x:c r="O389" s="7" t="n">
        <x:f>IF(J389="","",ROUND(J389*Tariffs!$D$7,2))</x:f>
        <x:v>293.27</x:v>
      </x:c>
      <x:c r="P389" s="5" t="str">
        <x:v>https://neuromia.ru/app/video/kling</x:v>
      </x:c>
      <x:c r="Q389" s="8" t="n">
        <x:v>46282.375</x:v>
      </x:c>
      <x:c r="R389" s="5" t="str"/>
    </x:row>
    <x:row r="390" ht="22" customHeight="1">
      <x:c r="A390" s="5" t="str">
        <x:v>Видео</x:v>
      </x:c>
      <x:c r="B390" s="5" t="str">
        <x:v>Kling 2.1 Pro</x:v>
      </x:c>
      <x:c r="C390" s="5" t="str">
        <x:v>Фото → видео</x:v>
      </x:c>
      <x:c r="D390" s="5" t="str">
        <x:v>—</x:v>
      </x:c>
      <x:c r="E390" s="5" t="str">
        <x:v>—</x:v>
      </x:c>
      <x:c r="F390" s="5" t="n">
        <x:v>5</x:v>
      </x:c>
      <x:c r="G390" s="5" t="str">
        <x:v>—</x:v>
      </x:c>
      <x:c r="H390" s="5" t="str">
        <x:v>Синтетическое тестовое фото и промпт</x:v>
      </x:c>
      <x:c r="I390" s="6" t="n">
        <x:v>55</x:v>
      </x:c>
      <x:c r="J390" s="6" t="n">
        <x:v>55</x:v>
      </x:c>
      <x:c r="K390" s="5" t="str">
        <x:v>Точная цена в редакторе</x:v>
      </x:c>
      <x:c r="L390" s="5" t="str">
        <x:v>видео</x:v>
      </x:c>
      <x:c r="M390" s="7" t="n">
        <x:f>IF(J390="","",ROUND(J390*Tariffs!$D$5,2))</x:f>
        <x:v>45.74</x:v>
      </x:c>
      <x:c r="N390" s="7" t="n">
        <x:f>IF(J390="","",ROUND(J390*Tariffs!$D$6,2))</x:f>
        <x:v>45.79</x:v>
      </x:c>
      <x:c r="O390" s="7" t="n">
        <x:f>IF(J390="","",ROUND(J390*Tariffs!$D$7,2))</x:f>
        <x:v>45.82</x:v>
      </x:c>
      <x:c r="P390" s="5" t="str">
        <x:v>https://neuromia.ru/app/video/kling</x:v>
      </x:c>
      <x:c r="Q390" s="8" t="n">
        <x:v>46282.375</x:v>
      </x:c>
      <x:c r="R390" s="5" t="str"/>
    </x:row>
    <x:row r="391" ht="22" customHeight="1">
      <x:c r="A391" s="5" t="str">
        <x:v>Видео</x:v>
      </x:c>
      <x:c r="B391" s="5" t="str">
        <x:v>Kling 2.1 Pro</x:v>
      </x:c>
      <x:c r="C391" s="5" t="str">
        <x:v>Фото → видео</x:v>
      </x:c>
      <x:c r="D391" s="5" t="str">
        <x:v>—</x:v>
      </x:c>
      <x:c r="E391" s="5" t="str">
        <x:v>—</x:v>
      </x:c>
      <x:c r="F391" s="5" t="n">
        <x:v>10</x:v>
      </x:c>
      <x:c r="G391" s="5" t="str">
        <x:v>—</x:v>
      </x:c>
      <x:c r="H391" s="5" t="str">
        <x:v>Синтетическое тестовое фото и промпт</x:v>
      </x:c>
      <x:c r="I391" s="6" t="n">
        <x:v>110</x:v>
      </x:c>
      <x:c r="J391" s="6" t="n">
        <x:v>110</x:v>
      </x:c>
      <x:c r="K391" s="5" t="str">
        <x:v>Точная цена в редакторе</x:v>
      </x:c>
      <x:c r="L391" s="5" t="str">
        <x:v>видео</x:v>
      </x:c>
      <x:c r="M391" s="7" t="n">
        <x:f>IF(J391="","",ROUND(J391*Tariffs!$D$5,2))</x:f>
        <x:v>91.48</x:v>
      </x:c>
      <x:c r="N391" s="7" t="n">
        <x:f>IF(J391="","",ROUND(J391*Tariffs!$D$6,2))</x:f>
        <x:v>91.58</x:v>
      </x:c>
      <x:c r="O391" s="7" t="n">
        <x:f>IF(J391="","",ROUND(J391*Tariffs!$D$7,2))</x:f>
        <x:v>91.65</x:v>
      </x:c>
      <x:c r="P391" s="5" t="str">
        <x:v>https://neuromia.ru/app/video/kling</x:v>
      </x:c>
      <x:c r="Q391" s="8" t="n">
        <x:v>46282.375</x:v>
      </x:c>
      <x:c r="R391" s="5" t="str"/>
    </x:row>
    <x:row r="392" ht="22" customHeight="1">
      <x:c r="A392" s="5" t="str">
        <x:v>Видео</x:v>
      </x:c>
      <x:c r="B392" s="5" t="str">
        <x:v>Kling 2.1 Standard</x:v>
      </x:c>
      <x:c r="C392" s="5" t="str">
        <x:v>Фото → видео</x:v>
      </x:c>
      <x:c r="D392" s="5" t="str">
        <x:v>—</x:v>
      </x:c>
      <x:c r="E392" s="5" t="str">
        <x:v>—</x:v>
      </x:c>
      <x:c r="F392" s="5" t="n">
        <x:v>5</x:v>
      </x:c>
      <x:c r="G392" s="5" t="str">
        <x:v>—</x:v>
      </x:c>
      <x:c r="H392" s="5" t="str">
        <x:v>Синтетическое тестовое фото и промпт</x:v>
      </x:c>
      <x:c r="I392" s="6" t="n">
        <x:v>27.5</x:v>
      </x:c>
      <x:c r="J392" s="6" t="n">
        <x:v>27.5</x:v>
      </x:c>
      <x:c r="K392" s="5" t="str">
        <x:v>Точная цена в редакторе</x:v>
      </x:c>
      <x:c r="L392" s="5" t="str">
        <x:v>видео</x:v>
      </x:c>
      <x:c r="M392" s="7" t="n">
        <x:f>IF(J392="","",ROUND(J392*Tariffs!$D$5,2))</x:f>
        <x:v>22.87</x:v>
      </x:c>
      <x:c r="N392" s="7" t="n">
        <x:f>IF(J392="","",ROUND(J392*Tariffs!$D$6,2))</x:f>
        <x:v>22.89</x:v>
      </x:c>
      <x:c r="O392" s="7" t="n">
        <x:f>IF(J392="","",ROUND(J392*Tariffs!$D$7,2))</x:f>
        <x:v>22.91</x:v>
      </x:c>
      <x:c r="P392" s="5" t="str">
        <x:v>https://neuromia.ru/app/video/kling</x:v>
      </x:c>
      <x:c r="Q392" s="8" t="n">
        <x:v>46282.375</x:v>
      </x:c>
      <x:c r="R392" s="5" t="str"/>
    </x:row>
    <x:row r="393" ht="22" customHeight="1">
      <x:c r="A393" s="5" t="str">
        <x:v>Видео</x:v>
      </x:c>
      <x:c r="B393" s="5" t="str">
        <x:v>Kling 2.1 Standard</x:v>
      </x:c>
      <x:c r="C393" s="5" t="str">
        <x:v>Фото → видео</x:v>
      </x:c>
      <x:c r="D393" s="5" t="str">
        <x:v>—</x:v>
      </x:c>
      <x:c r="E393" s="5" t="str">
        <x:v>—</x:v>
      </x:c>
      <x:c r="F393" s="5" t="n">
        <x:v>10</x:v>
      </x:c>
      <x:c r="G393" s="5" t="str">
        <x:v>—</x:v>
      </x:c>
      <x:c r="H393" s="5" t="str">
        <x:v>Синтетическое тестовое фото и промпт</x:v>
      </x:c>
      <x:c r="I393" s="6" t="n">
        <x:v>55</x:v>
      </x:c>
      <x:c r="J393" s="6" t="n">
        <x:v>55</x:v>
      </x:c>
      <x:c r="K393" s="5" t="str">
        <x:v>Точная цена в редакторе</x:v>
      </x:c>
      <x:c r="L393" s="5" t="str">
        <x:v>видео</x:v>
      </x:c>
      <x:c r="M393" s="7" t="n">
        <x:f>IF(J393="","",ROUND(J393*Tariffs!$D$5,2))</x:f>
        <x:v>45.74</x:v>
      </x:c>
      <x:c r="N393" s="7" t="n">
        <x:f>IF(J393="","",ROUND(J393*Tariffs!$D$6,2))</x:f>
        <x:v>45.79</x:v>
      </x:c>
      <x:c r="O393" s="7" t="n">
        <x:f>IF(J393="","",ROUND(J393*Tariffs!$D$7,2))</x:f>
        <x:v>45.82</x:v>
      </x:c>
      <x:c r="P393" s="5" t="str">
        <x:v>https://neuromia.ru/app/video/kling</x:v>
      </x:c>
      <x:c r="Q393" s="8" t="n">
        <x:v>46282.375</x:v>
      </x:c>
      <x:c r="R393" s="5" t="str"/>
    </x:row>
    <x:row r="394" ht="22" customHeight="1">
      <x:c r="A394" s="5" t="str">
        <x:v>Видео</x:v>
      </x:c>
      <x:c r="B394" s="5" t="str">
        <x:v>Kling 2.6</x:v>
      </x:c>
      <x:c r="C394" s="5" t="str">
        <x:v>Текст → видео</x:v>
      </x:c>
      <x:c r="D394" s="5" t="str">
        <x:v>—</x:v>
      </x:c>
      <x:c r="E394" s="5" t="str">
        <x:v>—</x:v>
      </x:c>
      <x:c r="F394" s="5" t="n">
        <x:v>5</x:v>
      </x:c>
      <x:c r="G394" s="5" t="str">
        <x:v>включен</x:v>
      </x:c>
      <x:c r="H394" s="5" t="str">
        <x:v>Без исходного файла</x:v>
      </x:c>
      <x:c r="I394" s="6" t="n">
        <x:v>121</x:v>
      </x:c>
      <x:c r="J394" s="6" t="n">
        <x:v>121</x:v>
      </x:c>
      <x:c r="K394" s="5" t="str">
        <x:v>Точная цена в редакторе</x:v>
      </x:c>
      <x:c r="L394" s="5" t="str">
        <x:v>видео</x:v>
      </x:c>
      <x:c r="M394" s="7" t="n">
        <x:f>IF(J394="","",ROUND(J394*Tariffs!$D$5,2))</x:f>
        <x:v>100.63</x:v>
      </x:c>
      <x:c r="N394" s="7" t="n">
        <x:f>IF(J394="","",ROUND(J394*Tariffs!$D$6,2))</x:f>
        <x:v>100.73</x:v>
      </x:c>
      <x:c r="O394" s="7" t="n">
        <x:f>IF(J394="","",ROUND(J394*Tariffs!$D$7,2))</x:f>
        <x:v>100.81</x:v>
      </x:c>
      <x:c r="P394" s="5" t="str">
        <x:v>https://neuromia.ru/app/video/kling</x:v>
      </x:c>
      <x:c r="Q394" s="8" t="n">
        <x:v>46282.375</x:v>
      </x:c>
      <x:c r="R394" s="5" t="str"/>
    </x:row>
    <x:row r="395" ht="22" customHeight="1">
      <x:c r="A395" s="5" t="str">
        <x:v>Видео</x:v>
      </x:c>
      <x:c r="B395" s="5" t="str">
        <x:v>Kling 2.6</x:v>
      </x:c>
      <x:c r="C395" s="5" t="str">
        <x:v>Текст → видео</x:v>
      </x:c>
      <x:c r="D395" s="5" t="str">
        <x:v>—</x:v>
      </x:c>
      <x:c r="E395" s="5" t="str">
        <x:v>—</x:v>
      </x:c>
      <x:c r="F395" s="5" t="n">
        <x:v>10</x:v>
      </x:c>
      <x:c r="G395" s="5" t="str">
        <x:v>включен</x:v>
      </x:c>
      <x:c r="H395" s="5" t="str">
        <x:v>Без исходного файла</x:v>
      </x:c>
      <x:c r="I395" s="6" t="n">
        <x:v>242</x:v>
      </x:c>
      <x:c r="J395" s="6" t="n">
        <x:v>242</x:v>
      </x:c>
      <x:c r="K395" s="5" t="str">
        <x:v>Точная цена в редакторе</x:v>
      </x:c>
      <x:c r="L395" s="5" t="str">
        <x:v>видео</x:v>
      </x:c>
      <x:c r="M395" s="7" t="n">
        <x:f>IF(J395="","",ROUND(J395*Tariffs!$D$5,2))</x:f>
        <x:v>201.26</x:v>
      </x:c>
      <x:c r="N395" s="7" t="n">
        <x:f>IF(J395="","",ROUND(J395*Tariffs!$D$6,2))</x:f>
        <x:v>201.47</x:v>
      </x:c>
      <x:c r="O395" s="7" t="n">
        <x:f>IF(J395="","",ROUND(J395*Tariffs!$D$7,2))</x:f>
        <x:v>201.63</x:v>
      </x:c>
      <x:c r="P395" s="5" t="str">
        <x:v>https://neuromia.ru/app/video/kling</x:v>
      </x:c>
      <x:c r="Q395" s="8" t="n">
        <x:v>46282.375</x:v>
      </x:c>
      <x:c r="R395" s="5" t="str"/>
    </x:row>
    <x:row r="396" ht="22" customHeight="1">
      <x:c r="A396" s="5" t="str">
        <x:v>Видео</x:v>
      </x:c>
      <x:c r="B396" s="5" t="str">
        <x:v>Kling 2.6</x:v>
      </x:c>
      <x:c r="C396" s="5" t="str">
        <x:v>Текст → видео</x:v>
      </x:c>
      <x:c r="D396" s="5" t="str">
        <x:v>—</x:v>
      </x:c>
      <x:c r="E396" s="5" t="str">
        <x:v>—</x:v>
      </x:c>
      <x:c r="F396" s="5" t="n">
        <x:v>5</x:v>
      </x:c>
      <x:c r="G396" s="5" t="str">
        <x:v>выключен</x:v>
      </x:c>
      <x:c r="H396" s="5" t="str">
        <x:v>Без исходного файла</x:v>
      </x:c>
      <x:c r="I396" s="6" t="n">
        <x:v>60.5</x:v>
      </x:c>
      <x:c r="J396" s="6" t="n">
        <x:v>60.5</x:v>
      </x:c>
      <x:c r="K396" s="5" t="str">
        <x:v>Точная цена в редакторе</x:v>
      </x:c>
      <x:c r="L396" s="5" t="str">
        <x:v>видео</x:v>
      </x:c>
      <x:c r="M396" s="7" t="n">
        <x:f>IF(J396="","",ROUND(J396*Tariffs!$D$5,2))</x:f>
        <x:v>50.32</x:v>
      </x:c>
      <x:c r="N396" s="7" t="n">
        <x:f>IF(J396="","",ROUND(J396*Tariffs!$D$6,2))</x:f>
        <x:v>50.37</x:v>
      </x:c>
      <x:c r="O396" s="7" t="n">
        <x:f>IF(J396="","",ROUND(J396*Tariffs!$D$7,2))</x:f>
        <x:v>50.41</x:v>
      </x:c>
      <x:c r="P396" s="5" t="str">
        <x:v>https://neuromia.ru/app/video/kling</x:v>
      </x:c>
      <x:c r="Q396" s="8" t="n">
        <x:v>46282.375</x:v>
      </x:c>
      <x:c r="R396" s="5" t="str"/>
    </x:row>
    <x:row r="397" ht="22" customHeight="1">
      <x:c r="A397" s="5" t="str">
        <x:v>Видео</x:v>
      </x:c>
      <x:c r="B397" s="5" t="str">
        <x:v>Kling 2.6</x:v>
      </x:c>
      <x:c r="C397" s="5" t="str">
        <x:v>Текст → видео</x:v>
      </x:c>
      <x:c r="D397" s="5" t="str">
        <x:v>—</x:v>
      </x:c>
      <x:c r="E397" s="5" t="str">
        <x:v>—</x:v>
      </x:c>
      <x:c r="F397" s="5" t="n">
        <x:v>10</x:v>
      </x:c>
      <x:c r="G397" s="5" t="str">
        <x:v>выключен</x:v>
      </x:c>
      <x:c r="H397" s="5" t="str">
        <x:v>Без исходного файла</x:v>
      </x:c>
      <x:c r="I397" s="6" t="n">
        <x:v>121</x:v>
      </x:c>
      <x:c r="J397" s="6" t="n">
        <x:v>121</x:v>
      </x:c>
      <x:c r="K397" s="5" t="str">
        <x:v>Точная цена в редакторе</x:v>
      </x:c>
      <x:c r="L397" s="5" t="str">
        <x:v>видео</x:v>
      </x:c>
      <x:c r="M397" s="7" t="n">
        <x:f>IF(J397="","",ROUND(J397*Tariffs!$D$5,2))</x:f>
        <x:v>100.63</x:v>
      </x:c>
      <x:c r="N397" s="7" t="n">
        <x:f>IF(J397="","",ROUND(J397*Tariffs!$D$6,2))</x:f>
        <x:v>100.73</x:v>
      </x:c>
      <x:c r="O397" s="7" t="n">
        <x:f>IF(J397="","",ROUND(J397*Tariffs!$D$7,2))</x:f>
        <x:v>100.81</x:v>
      </x:c>
      <x:c r="P397" s="5" t="str">
        <x:v>https://neuromia.ru/app/video/kling</x:v>
      </x:c>
      <x:c r="Q397" s="8" t="n">
        <x:v>46282.375</x:v>
      </x:c>
      <x:c r="R397" s="5" t="str"/>
    </x:row>
    <x:row r="398" ht="22" customHeight="1">
      <x:c r="A398" s="5" t="str">
        <x:v>Видео</x:v>
      </x:c>
      <x:c r="B398" s="5" t="str">
        <x:v>Kling Avatar Standard</x:v>
      </x:c>
      <x:c r="C398" s="5" t="str">
        <x:v>Фото + аудио → видео</x:v>
      </x:c>
      <x:c r="D398" s="5" t="str">
        <x:v>—</x:v>
      </x:c>
      <x:c r="E398" s="5" t="str">
        <x:v>—</x:v>
      </x:c>
      <x:c r="F398" s="5" t="str">
        <x:v>без аудио</x:v>
      </x:c>
      <x:c r="G398" s="5" t="str">
        <x:v>—</x:v>
      </x:c>
      <x:c r="H398" s="5" t="str">
        <x:v>Исходные фото и аудио обязательны</x:v>
      </x:c>
      <x:c r="I398" s="6" t="n">
        <x:v>44</x:v>
      </x:c>
      <x:c r="J398" s="6"/>
      <x:c r="K398" s="5" t="str">
        <x:v>До загрузки файла</x:v>
      </x:c>
      <x:c r="L398" s="5" t="str">
        <x:v>видео</x:v>
      </x:c>
      <x:c r="M398" s="7" t="str">
        <x:f>IF(J398="","",ROUND(J398*Tariffs!$D$5,2))</x:f>
      </x:c>
      <x:c r="N398" s="7" t="str">
        <x:f>IF(J398="","",ROUND(J398*Tariffs!$D$6,2))</x:f>
      </x:c>
      <x:c r="O398" s="7" t="str">
        <x:f>IF(J398="","",ROUND(J398*Tariffs!$D$7,2))</x:f>
      </x:c>
      <x:c r="P398" s="5" t="str">
        <x:v>https://neuromia.ru/app/video/kling-avatar</x:v>
      </x:c>
      <x:c r="Q398" s="8" t="n">
        <x:v>46282.375</x:v>
      </x:c>
      <x:c r="R398" s="5" t="str">
        <x:v>До загрузки показывается стартовая сумма для 5 секунд, она не является итогом.</x:v>
      </x:c>
    </x:row>
    <x:row r="399" ht="22" customHeight="1">
      <x:c r="A399" s="5" t="str">
        <x:v>Видео</x:v>
      </x:c>
      <x:c r="B399" s="5" t="str">
        <x:v>Kling Avatar Standard</x:v>
      </x:c>
      <x:c r="C399" s="5" t="str">
        <x:v>Фото + аудио → видео</x:v>
      </x:c>
      <x:c r="D399" s="5" t="str">
        <x:v>—</x:v>
      </x:c>
      <x:c r="E399" s="5" t="str">
        <x:v>—</x:v>
      </x:c>
      <x:c r="F399" s="5" t="n">
        <x:v>2</x:v>
      </x:c>
      <x:c r="G399" s="5" t="str">
        <x:v>—</x:v>
      </x:c>
      <x:c r="H399" s="5" t="str">
        <x:v>Синтетические фото, аудио и тестовый промпт</x:v>
      </x:c>
      <x:c r="I399" s="6" t="n">
        <x:v>17.6</x:v>
      </x:c>
      <x:c r="J399" s="6" t="n">
        <x:v>17.6</x:v>
      </x:c>
      <x:c r="K399" s="5" t="str">
        <x:v>Точная цена в редакторе</x:v>
      </x:c>
      <x:c r="L399" s="5" t="str">
        <x:v>видео</x:v>
      </x:c>
      <x:c r="M399" s="7" t="n">
        <x:f>IF(J399="","",ROUND(J399*Tariffs!$D$5,2))</x:f>
        <x:v>14.64</x:v>
      </x:c>
      <x:c r="N399" s="7" t="n">
        <x:f>IF(J399="","",ROUND(J399*Tariffs!$D$6,2))</x:f>
        <x:v>14.65</x:v>
      </x:c>
      <x:c r="O399" s="7" t="n">
        <x:f>IF(J399="","",ROUND(J399*Tariffs!$D$7,2))</x:f>
        <x:v>14.66</x:v>
      </x:c>
      <x:c r="P399" s="5" t="str">
        <x:v>https://neuromia.ru/app/video/kling-avatar</x:v>
      </x:c>
      <x:c r="Q399" s="8" t="n">
        <x:v>46282.375</x:v>
      </x:c>
      <x:c r="R399" s="5" t="str">
        <x:v>После загрузки аудио и чтения его длительности цена изменилась. Проверены 2, 6 и 12 секунд; ставка в этих точках 8,8 или 17,6 кр/с.</x:v>
      </x:c>
    </x:row>
    <x:row r="400" ht="22" customHeight="1">
      <x:c r="A400" s="5" t="str">
        <x:v>Видео</x:v>
      </x:c>
      <x:c r="B400" s="5" t="str">
        <x:v>Kling Avatar Standard</x:v>
      </x:c>
      <x:c r="C400" s="5" t="str">
        <x:v>Фото + аудио → видео</x:v>
      </x:c>
      <x:c r="D400" s="5" t="str">
        <x:v>—</x:v>
      </x:c>
      <x:c r="E400" s="5" t="str">
        <x:v>—</x:v>
      </x:c>
      <x:c r="F400" s="5" t="n">
        <x:v>6</x:v>
      </x:c>
      <x:c r="G400" s="5" t="str">
        <x:v>—</x:v>
      </x:c>
      <x:c r="H400" s="5" t="str">
        <x:v>Синтетические фото, аудио и тестовый промпт</x:v>
      </x:c>
      <x:c r="I400" s="6" t="n">
        <x:v>52.8</x:v>
      </x:c>
      <x:c r="J400" s="6" t="n">
        <x:v>52.8</x:v>
      </x:c>
      <x:c r="K400" s="5" t="str">
        <x:v>Точная цена в редакторе</x:v>
      </x:c>
      <x:c r="L400" s="5" t="str">
        <x:v>видео</x:v>
      </x:c>
      <x:c r="M400" s="7" t="n">
        <x:f>IF(J400="","",ROUND(J400*Tariffs!$D$5,2))</x:f>
        <x:v>43.91</x:v>
      </x:c>
      <x:c r="N400" s="7" t="n">
        <x:f>IF(J400="","",ROUND(J400*Tariffs!$D$6,2))</x:f>
        <x:v>43.96</x:v>
      </x:c>
      <x:c r="O400" s="7" t="n">
        <x:f>IF(J400="","",ROUND(J400*Tariffs!$D$7,2))</x:f>
        <x:v>43.99</x:v>
      </x:c>
      <x:c r="P400" s="5" t="str">
        <x:v>https://neuromia.ru/app/video/kling-avatar</x:v>
      </x:c>
      <x:c r="Q400" s="8" t="n">
        <x:v>46282.375</x:v>
      </x:c>
      <x:c r="R400" s="5" t="str">
        <x:v>После загрузки аудио и чтения его длительности цена изменилась. Проверены 2, 6 и 12 секунд; ставка в этих точках 8,8 или 17,6 кр/с.</x:v>
      </x:c>
    </x:row>
    <x:row r="401" ht="22" customHeight="1">
      <x:c r="A401" s="5" t="str">
        <x:v>Видео</x:v>
      </x:c>
      <x:c r="B401" s="5" t="str">
        <x:v>Kling Avatar Standard</x:v>
      </x:c>
      <x:c r="C401" s="5" t="str">
        <x:v>Фото + аудио → видео</x:v>
      </x:c>
      <x:c r="D401" s="5" t="str">
        <x:v>—</x:v>
      </x:c>
      <x:c r="E401" s="5" t="str">
        <x:v>—</x:v>
      </x:c>
      <x:c r="F401" s="5" t="n">
        <x:v>12</x:v>
      </x:c>
      <x:c r="G401" s="5" t="str">
        <x:v>—</x:v>
      </x:c>
      <x:c r="H401" s="5" t="str">
        <x:v>Синтетические фото, аудио и тестовый промпт</x:v>
      </x:c>
      <x:c r="I401" s="6" t="n">
        <x:v>105.6</x:v>
      </x:c>
      <x:c r="J401" s="6" t="n">
        <x:v>105.6</x:v>
      </x:c>
      <x:c r="K401" s="5" t="str">
        <x:v>Точная цена в редакторе</x:v>
      </x:c>
      <x:c r="L401" s="5" t="str">
        <x:v>видео</x:v>
      </x:c>
      <x:c r="M401" s="7" t="n">
        <x:f>IF(J401="","",ROUND(J401*Tariffs!$D$5,2))</x:f>
        <x:v>87.82</x:v>
      </x:c>
      <x:c r="N401" s="7" t="n">
        <x:f>IF(J401="","",ROUND(J401*Tariffs!$D$6,2))</x:f>
        <x:v>87.91</x:v>
      </x:c>
      <x:c r="O401" s="7" t="n">
        <x:f>IF(J401="","",ROUND(J401*Tariffs!$D$7,2))</x:f>
        <x:v>87.98</x:v>
      </x:c>
      <x:c r="P401" s="5" t="str">
        <x:v>https://neuromia.ru/app/video/kling-avatar</x:v>
      </x:c>
      <x:c r="Q401" s="8" t="n">
        <x:v>46282.375</x:v>
      </x:c>
      <x:c r="R401" s="5" t="str">
        <x:v>После загрузки аудио и чтения его длительности цена изменилась. Проверены 2, 6 и 12 секунд; ставка в этих точках 8,8 или 17,6 кр/с.</x:v>
      </x:c>
    </x:row>
    <x:row r="402" ht="22" customHeight="1">
      <x:c r="A402" s="5" t="str">
        <x:v>Видео</x:v>
      </x:c>
      <x:c r="B402" s="5" t="str">
        <x:v>Kling Avatar Pro</x:v>
      </x:c>
      <x:c r="C402" s="5" t="str">
        <x:v>Фото + аудио → видео</x:v>
      </x:c>
      <x:c r="D402" s="5" t="str">
        <x:v>—</x:v>
      </x:c>
      <x:c r="E402" s="5" t="str">
        <x:v>—</x:v>
      </x:c>
      <x:c r="F402" s="5" t="str">
        <x:v>без аудио</x:v>
      </x:c>
      <x:c r="G402" s="5" t="str">
        <x:v>—</x:v>
      </x:c>
      <x:c r="H402" s="5" t="str">
        <x:v>Исходные фото и аудио обязательны</x:v>
      </x:c>
      <x:c r="I402" s="6" t="n">
        <x:v>88</x:v>
      </x:c>
      <x:c r="J402" s="6"/>
      <x:c r="K402" s="5" t="str">
        <x:v>До загрузки файла</x:v>
      </x:c>
      <x:c r="L402" s="5" t="str">
        <x:v>видео</x:v>
      </x:c>
      <x:c r="M402" s="7" t="str">
        <x:f>IF(J402="","",ROUND(J402*Tariffs!$D$5,2))</x:f>
      </x:c>
      <x:c r="N402" s="7" t="str">
        <x:f>IF(J402="","",ROUND(J402*Tariffs!$D$6,2))</x:f>
      </x:c>
      <x:c r="O402" s="7" t="str">
        <x:f>IF(J402="","",ROUND(J402*Tariffs!$D$7,2))</x:f>
      </x:c>
      <x:c r="P402" s="5" t="str">
        <x:v>https://neuromia.ru/app/video/kling-avatar</x:v>
      </x:c>
      <x:c r="Q402" s="8" t="n">
        <x:v>46282.375</x:v>
      </x:c>
      <x:c r="R402" s="5" t="str">
        <x:v>До загрузки показывается стартовая сумма для 5 секунд, она не является итогом.</x:v>
      </x:c>
    </x:row>
    <x:row r="403" ht="22" customHeight="1">
      <x:c r="A403" s="5" t="str">
        <x:v>Видео</x:v>
      </x:c>
      <x:c r="B403" s="5" t="str">
        <x:v>Kling Avatar Pro</x:v>
      </x:c>
      <x:c r="C403" s="5" t="str">
        <x:v>Фото + аудио → видео</x:v>
      </x:c>
      <x:c r="D403" s="5" t="str">
        <x:v>—</x:v>
      </x:c>
      <x:c r="E403" s="5" t="str">
        <x:v>—</x:v>
      </x:c>
      <x:c r="F403" s="5" t="n">
        <x:v>2</x:v>
      </x:c>
      <x:c r="G403" s="5" t="str">
        <x:v>—</x:v>
      </x:c>
      <x:c r="H403" s="5" t="str">
        <x:v>Синтетические фото, аудио и тестовый промпт</x:v>
      </x:c>
      <x:c r="I403" s="6" t="n">
        <x:v>35.2</x:v>
      </x:c>
      <x:c r="J403" s="6" t="n">
        <x:v>35.2</x:v>
      </x:c>
      <x:c r="K403" s="5" t="str">
        <x:v>Точная цена в редакторе</x:v>
      </x:c>
      <x:c r="L403" s="5" t="str">
        <x:v>видео</x:v>
      </x:c>
      <x:c r="M403" s="7" t="n">
        <x:f>IF(J403="","",ROUND(J403*Tariffs!$D$5,2))</x:f>
        <x:v>29.27</x:v>
      </x:c>
      <x:c r="N403" s="7" t="n">
        <x:f>IF(J403="","",ROUND(J403*Tariffs!$D$6,2))</x:f>
        <x:v>29.3</x:v>
      </x:c>
      <x:c r="O403" s="7" t="n">
        <x:f>IF(J403="","",ROUND(J403*Tariffs!$D$7,2))</x:f>
        <x:v>29.33</x:v>
      </x:c>
      <x:c r="P403" s="5" t="str">
        <x:v>https://neuromia.ru/app/video/kling-avatar</x:v>
      </x:c>
      <x:c r="Q403" s="8" t="n">
        <x:v>46282.375</x:v>
      </x:c>
      <x:c r="R403" s="5" t="str">
        <x:v>После загрузки аудио и чтения его длительности цена изменилась. Проверены 2, 6 и 12 секунд; ставка в этих точках 8,8 или 17,6 кр/с.</x:v>
      </x:c>
    </x:row>
    <x:row r="404" ht="22" customHeight="1">
      <x:c r="A404" s="5" t="str">
        <x:v>Видео</x:v>
      </x:c>
      <x:c r="B404" s="5" t="str">
        <x:v>Kling Avatar Pro</x:v>
      </x:c>
      <x:c r="C404" s="5" t="str">
        <x:v>Фото + аудио → видео</x:v>
      </x:c>
      <x:c r="D404" s="5" t="str">
        <x:v>—</x:v>
      </x:c>
      <x:c r="E404" s="5" t="str">
        <x:v>—</x:v>
      </x:c>
      <x:c r="F404" s="5" t="n">
        <x:v>6</x:v>
      </x:c>
      <x:c r="G404" s="5" t="str">
        <x:v>—</x:v>
      </x:c>
      <x:c r="H404" s="5" t="str">
        <x:v>Синтетические фото, аудио и тестовый промпт</x:v>
      </x:c>
      <x:c r="I404" s="6" t="n">
        <x:v>105.6</x:v>
      </x:c>
      <x:c r="J404" s="6" t="n">
        <x:v>105.6</x:v>
      </x:c>
      <x:c r="K404" s="5" t="str">
        <x:v>Точная цена в редакторе</x:v>
      </x:c>
      <x:c r="L404" s="5" t="str">
        <x:v>видео</x:v>
      </x:c>
      <x:c r="M404" s="7" t="n">
        <x:f>IF(J404="","",ROUND(J404*Tariffs!$D$5,2))</x:f>
        <x:v>87.82</x:v>
      </x:c>
      <x:c r="N404" s="7" t="n">
        <x:f>IF(J404="","",ROUND(J404*Tariffs!$D$6,2))</x:f>
        <x:v>87.91</x:v>
      </x:c>
      <x:c r="O404" s="7" t="n">
        <x:f>IF(J404="","",ROUND(J404*Tariffs!$D$7,2))</x:f>
        <x:v>87.98</x:v>
      </x:c>
      <x:c r="P404" s="5" t="str">
        <x:v>https://neuromia.ru/app/video/kling-avatar</x:v>
      </x:c>
      <x:c r="Q404" s="8" t="n">
        <x:v>46282.375</x:v>
      </x:c>
      <x:c r="R404" s="5" t="str">
        <x:v>После загрузки аудио и чтения его длительности цена изменилась. Проверены 2, 6 и 12 секунд; ставка в этих точках 8,8 или 17,6 кр/с.</x:v>
      </x:c>
    </x:row>
    <x:row r="405" ht="22" customHeight="1">
      <x:c r="A405" s="5" t="str">
        <x:v>Видео</x:v>
      </x:c>
      <x:c r="B405" s="5" t="str">
        <x:v>Kling Avatar Pro</x:v>
      </x:c>
      <x:c r="C405" s="5" t="str">
        <x:v>Фото + аудио → видео</x:v>
      </x:c>
      <x:c r="D405" s="5" t="str">
        <x:v>—</x:v>
      </x:c>
      <x:c r="E405" s="5" t="str">
        <x:v>—</x:v>
      </x:c>
      <x:c r="F405" s="5" t="n">
        <x:v>12</x:v>
      </x:c>
      <x:c r="G405" s="5" t="str">
        <x:v>—</x:v>
      </x:c>
      <x:c r="H405" s="5" t="str">
        <x:v>Синтетические фото, аудио и тестовый промпт</x:v>
      </x:c>
      <x:c r="I405" s="6" t="n">
        <x:v>211.2</x:v>
      </x:c>
      <x:c r="J405" s="6" t="n">
        <x:v>211.2</x:v>
      </x:c>
      <x:c r="K405" s="5" t="str">
        <x:v>Точная цена в редакторе</x:v>
      </x:c>
      <x:c r="L405" s="5" t="str">
        <x:v>видео</x:v>
      </x:c>
      <x:c r="M405" s="7" t="n">
        <x:f>IF(J405="","",ROUND(J405*Tariffs!$D$5,2))</x:f>
        <x:v>175.65</x:v>
      </x:c>
      <x:c r="N405" s="7" t="n">
        <x:f>IF(J405="","",ROUND(J405*Tariffs!$D$6,2))</x:f>
        <x:v>175.82</x:v>
      </x:c>
      <x:c r="O405" s="7" t="n">
        <x:f>IF(J405="","",ROUND(J405*Tariffs!$D$7,2))</x:f>
        <x:v>175.96</x:v>
      </x:c>
      <x:c r="P405" s="5" t="str">
        <x:v>https://neuromia.ru/app/video/kling-avatar</x:v>
      </x:c>
      <x:c r="Q405" s="8" t="n">
        <x:v>46282.375</x:v>
      </x:c>
      <x:c r="R405" s="5" t="str">
        <x:v>После загрузки аудио и чтения его длительности цена изменилась. Проверены 2, 6 и 12 секунд; ставка в этих точках 8,8 или 17,6 кр/с.</x:v>
      </x:c>
    </x:row>
    <x:row r="406" ht="22" customHeight="1">
      <x:c r="A406" s="5" t="str">
        <x:v>Видео</x:v>
      </x:c>
      <x:c r="B406" s="5" t="str">
        <x:v>Kling 2.6 Motion Control</x:v>
      </x:c>
      <x:c r="C406" s="5" t="str">
        <x:v>Фото + видео → видео</x:v>
      </x:c>
      <x:c r="D406" s="5" t="str">
        <x:v>720p</x:v>
      </x:c>
      <x:c r="E406" s="5" t="str">
        <x:v>—</x:v>
      </x:c>
      <x:c r="F406" s="5" t="str">
        <x:v>без видео движения</x:v>
      </x:c>
      <x:c r="G406" s="5" t="str">
        <x:v>—</x:v>
      </x:c>
      <x:c r="H406" s="5" t="str">
        <x:v>Исходные фото и видео обязательны</x:v>
      </x:c>
      <x:c r="I406" s="6" t="n">
        <x:v>60.5</x:v>
      </x:c>
      <x:c r="J406" s="6"/>
      <x:c r="K406" s="5" t="str">
        <x:v>До загрузки файла</x:v>
      </x:c>
      <x:c r="L406" s="5" t="str">
        <x:v>видео</x:v>
      </x:c>
      <x:c r="M406" s="7" t="str">
        <x:f>IF(J406="","",ROUND(J406*Tariffs!$D$5,2))</x:f>
      </x:c>
      <x:c r="N406" s="7" t="str">
        <x:f>IF(J406="","",ROUND(J406*Tariffs!$D$6,2))</x:f>
      </x:c>
      <x:c r="O406" s="7" t="str">
        <x:f>IF(J406="","",ROUND(J406*Tariffs!$D$7,2))</x:f>
      </x:c>
      <x:c r="P406" s="5" t="str">
        <x:v>https://neuromia.ru/app/video/kling-motion</x:v>
      </x:c>
      <x:c r="Q406" s="8" t="n">
        <x:v>46282.375</x:v>
      </x:c>
      <x:c r="R406" s="5" t="str">
        <x:v>Стартовая сумма соответствует 5 с до файла.</x:v>
      </x:c>
    </x:row>
    <x:row r="407" ht="22" customHeight="1">
      <x:c r="A407" s="5" t="str">
        <x:v>Видео</x:v>
      </x:c>
      <x:c r="B407" s="5" t="str">
        <x:v>Kling 2.6 Motion Control</x:v>
      </x:c>
      <x:c r="C407" s="5" t="str">
        <x:v>Фото + видео → видео</x:v>
      </x:c>
      <x:c r="D407" s="5" t="str">
        <x:v>720p</x:v>
      </x:c>
      <x:c r="E407" s="5" t="str">
        <x:v>—</x:v>
      </x:c>
      <x:c r="F407" s="5" t="n">
        <x:v>6</x:v>
      </x:c>
      <x:c r="G407" s="5" t="str">
        <x:v>—</x:v>
      </x:c>
      <x:c r="H407" s="5" t="str">
        <x:v>Синтетические тестовые фото и видео H.264</x:v>
      </x:c>
      <x:c r="I407" s="6" t="n">
        <x:v>72.6</x:v>
      </x:c>
      <x:c r="J407" s="6" t="n">
        <x:v>72.6</x:v>
      </x:c>
      <x:c r="K407" s="5" t="str">
        <x:v>Точная цена в редакторе</x:v>
      </x:c>
      <x:c r="L407" s="5" t="str">
        <x:v>видео</x:v>
      </x:c>
      <x:c r="M407" s="7" t="n">
        <x:f>IF(J407="","",ROUND(J407*Tariffs!$D$5,2))</x:f>
        <x:v>60.38</x:v>
      </x:c>
      <x:c r="N407" s="7" t="n">
        <x:f>IF(J407="","",ROUND(J407*Tariffs!$D$6,2))</x:f>
        <x:v>60.44</x:v>
      </x:c>
      <x:c r="O407" s="7" t="n">
        <x:f>IF(J407="","",ROUND(J407*Tariffs!$D$7,2))</x:f>
        <x:v>60.49</x:v>
      </x:c>
      <x:c r="P407" s="5" t="str">
        <x:v>https://neuromia.ru/app/video/kling-motion</x:v>
      </x:c>
      <x:c r="Q407" s="8" t="n">
        <x:v>46282.375</x:v>
      </x:c>
      <x:c r="R407" s="5" t="str">
        <x:v>Длительность взята из исходного видео; ставки подтверждены на 6 и 12 с.</x:v>
      </x:c>
    </x:row>
    <x:row r="408" ht="22" customHeight="1">
      <x:c r="A408" s="5" t="str">
        <x:v>Видео</x:v>
      </x:c>
      <x:c r="B408" s="5" t="str">
        <x:v>Kling 2.6 Motion Control</x:v>
      </x:c>
      <x:c r="C408" s="5" t="str">
        <x:v>Фото + видео → видео</x:v>
      </x:c>
      <x:c r="D408" s="5" t="str">
        <x:v>720p</x:v>
      </x:c>
      <x:c r="E408" s="5" t="str">
        <x:v>—</x:v>
      </x:c>
      <x:c r="F408" s="5" t="n">
        <x:v>12</x:v>
      </x:c>
      <x:c r="G408" s="5" t="str">
        <x:v>—</x:v>
      </x:c>
      <x:c r="H408" s="5" t="str">
        <x:v>Синтетические тестовые фото и видео H.264</x:v>
      </x:c>
      <x:c r="I408" s="6" t="n">
        <x:v>145.2</x:v>
      </x:c>
      <x:c r="J408" s="6" t="n">
        <x:v>145.2</x:v>
      </x:c>
      <x:c r="K408" s="5" t="str">
        <x:v>Точная цена в редакторе</x:v>
      </x:c>
      <x:c r="L408" s="5" t="str">
        <x:v>видео</x:v>
      </x:c>
      <x:c r="M408" s="7" t="n">
        <x:f>IF(J408="","",ROUND(J408*Tariffs!$D$5,2))</x:f>
        <x:v>120.76</x:v>
      </x:c>
      <x:c r="N408" s="7" t="n">
        <x:f>IF(J408="","",ROUND(J408*Tariffs!$D$6,2))</x:f>
        <x:v>120.88</x:v>
      </x:c>
      <x:c r="O408" s="7" t="n">
        <x:f>IF(J408="","",ROUND(J408*Tariffs!$D$7,2))</x:f>
        <x:v>120.98</x:v>
      </x:c>
      <x:c r="P408" s="5" t="str">
        <x:v>https://neuromia.ru/app/video/kling-motion</x:v>
      </x:c>
      <x:c r="Q408" s="8" t="n">
        <x:v>46282.375</x:v>
      </x:c>
      <x:c r="R408" s="5" t="str">
        <x:v>Длительность взята из исходного видео; ставки подтверждены на 6 и 12 с.</x:v>
      </x:c>
    </x:row>
    <x:row r="409" ht="22" customHeight="1">
      <x:c r="A409" s="5" t="str">
        <x:v>Видео</x:v>
      </x:c>
      <x:c r="B409" s="5" t="str">
        <x:v>Kling 2.6 Motion Control</x:v>
      </x:c>
      <x:c r="C409" s="5" t="str">
        <x:v>Фото + видео → видео</x:v>
      </x:c>
      <x:c r="D409" s="5" t="str">
        <x:v>1080p</x:v>
      </x:c>
      <x:c r="E409" s="5" t="str">
        <x:v>—</x:v>
      </x:c>
      <x:c r="F409" s="5" t="str">
        <x:v>без видео движения</x:v>
      </x:c>
      <x:c r="G409" s="5" t="str">
        <x:v>—</x:v>
      </x:c>
      <x:c r="H409" s="5" t="str">
        <x:v>Исходные фото и видео обязательны</x:v>
      </x:c>
      <x:c r="I409" s="6" t="n">
        <x:v>99</x:v>
      </x:c>
      <x:c r="J409" s="6"/>
      <x:c r="K409" s="5" t="str">
        <x:v>До загрузки файла</x:v>
      </x:c>
      <x:c r="L409" s="5" t="str">
        <x:v>видео</x:v>
      </x:c>
      <x:c r="M409" s="7" t="str">
        <x:f>IF(J409="","",ROUND(J409*Tariffs!$D$5,2))</x:f>
      </x:c>
      <x:c r="N409" s="7" t="str">
        <x:f>IF(J409="","",ROUND(J409*Tariffs!$D$6,2))</x:f>
      </x:c>
      <x:c r="O409" s="7" t="str">
        <x:f>IF(J409="","",ROUND(J409*Tariffs!$D$7,2))</x:f>
      </x:c>
      <x:c r="P409" s="5" t="str">
        <x:v>https://neuromia.ru/app/video/kling-motion</x:v>
      </x:c>
      <x:c r="Q409" s="8" t="n">
        <x:v>46282.375</x:v>
      </x:c>
      <x:c r="R409" s="5" t="str">
        <x:v>Стартовая сумма соответствует 5 с до файла.</x:v>
      </x:c>
    </x:row>
    <x:row r="410" ht="22" customHeight="1">
      <x:c r="A410" s="5" t="str">
        <x:v>Видео</x:v>
      </x:c>
      <x:c r="B410" s="5" t="str">
        <x:v>Kling 2.6 Motion Control</x:v>
      </x:c>
      <x:c r="C410" s="5" t="str">
        <x:v>Фото + видео → видео</x:v>
      </x:c>
      <x:c r="D410" s="5" t="str">
        <x:v>1080p</x:v>
      </x:c>
      <x:c r="E410" s="5" t="str">
        <x:v>—</x:v>
      </x:c>
      <x:c r="F410" s="5" t="n">
        <x:v>6</x:v>
      </x:c>
      <x:c r="G410" s="5" t="str">
        <x:v>—</x:v>
      </x:c>
      <x:c r="H410" s="5" t="str">
        <x:v>Синтетические тестовые фото и видео H.264</x:v>
      </x:c>
      <x:c r="I410" s="6" t="n">
        <x:v>118.8</x:v>
      </x:c>
      <x:c r="J410" s="6" t="n">
        <x:v>118.8</x:v>
      </x:c>
      <x:c r="K410" s="5" t="str">
        <x:v>Точная цена в редакторе</x:v>
      </x:c>
      <x:c r="L410" s="5" t="str">
        <x:v>видео</x:v>
      </x:c>
      <x:c r="M410" s="7" t="n">
        <x:f>IF(J410="","",ROUND(J410*Tariffs!$D$5,2))</x:f>
        <x:v>98.8</x:v>
      </x:c>
      <x:c r="N410" s="7" t="n">
        <x:f>IF(J410="","",ROUND(J410*Tariffs!$D$6,2))</x:f>
        <x:v>98.9</x:v>
      </x:c>
      <x:c r="O410" s="7" t="n">
        <x:f>IF(J410="","",ROUND(J410*Tariffs!$D$7,2))</x:f>
        <x:v>98.98</x:v>
      </x:c>
      <x:c r="P410" s="5" t="str">
        <x:v>https://neuromia.ru/app/video/kling-motion</x:v>
      </x:c>
      <x:c r="Q410" s="8" t="n">
        <x:v>46282.375</x:v>
      </x:c>
      <x:c r="R410" s="5" t="str">
        <x:v>Длительность взята из исходного видео; ставки подтверждены на 6 и 12 с.</x:v>
      </x:c>
    </x:row>
    <x:row r="411" ht="22" customHeight="1">
      <x:c r="A411" s="5" t="str">
        <x:v>Видео</x:v>
      </x:c>
      <x:c r="B411" s="5" t="str">
        <x:v>Kling 2.6 Motion Control</x:v>
      </x:c>
      <x:c r="C411" s="5" t="str">
        <x:v>Фото + видео → видео</x:v>
      </x:c>
      <x:c r="D411" s="5" t="str">
        <x:v>1080p</x:v>
      </x:c>
      <x:c r="E411" s="5" t="str">
        <x:v>—</x:v>
      </x:c>
      <x:c r="F411" s="5" t="n">
        <x:v>12</x:v>
      </x:c>
      <x:c r="G411" s="5" t="str">
        <x:v>—</x:v>
      </x:c>
      <x:c r="H411" s="5" t="str">
        <x:v>Синтетические тестовые фото и видео H.264</x:v>
      </x:c>
      <x:c r="I411" s="6" t="n">
        <x:v>237.6</x:v>
      </x:c>
      <x:c r="J411" s="6" t="n">
        <x:v>237.6</x:v>
      </x:c>
      <x:c r="K411" s="5" t="str">
        <x:v>Точная цена в редакторе</x:v>
      </x:c>
      <x:c r="L411" s="5" t="str">
        <x:v>видео</x:v>
      </x:c>
      <x:c r="M411" s="7" t="n">
        <x:f>IF(J411="","",ROUND(J411*Tariffs!$D$5,2))</x:f>
        <x:v>197.6</x:v>
      </x:c>
      <x:c r="N411" s="7" t="n">
        <x:f>IF(J411="","",ROUND(J411*Tariffs!$D$6,2))</x:f>
        <x:v>197.8</x:v>
      </x:c>
      <x:c r="O411" s="7" t="n">
        <x:f>IF(J411="","",ROUND(J411*Tariffs!$D$7,2))</x:f>
        <x:v>197.96</x:v>
      </x:c>
      <x:c r="P411" s="5" t="str">
        <x:v>https://neuromia.ru/app/video/kling-motion</x:v>
      </x:c>
      <x:c r="Q411" s="8" t="n">
        <x:v>46282.375</x:v>
      </x:c>
      <x:c r="R411" s="5" t="str">
        <x:v>Длительность взята из исходного видео; ставки подтверждены на 6 и 12 с.</x:v>
      </x:c>
    </x:row>
    <x:row r="412" ht="22" customHeight="1">
      <x:c r="A412" s="5" t="str">
        <x:v>Видео</x:v>
      </x:c>
      <x:c r="B412" s="5" t="str">
        <x:v>Kling 3.0 Motion Control</x:v>
      </x:c>
      <x:c r="C412" s="5" t="str">
        <x:v>Фото + видео → видео</x:v>
      </x:c>
      <x:c r="D412" s="5" t="str">
        <x:v>720p</x:v>
      </x:c>
      <x:c r="E412" s="5" t="str">
        <x:v>—</x:v>
      </x:c>
      <x:c r="F412" s="5" t="str">
        <x:v>без видео движения</x:v>
      </x:c>
      <x:c r="G412" s="5" t="str">
        <x:v>—</x:v>
      </x:c>
      <x:c r="H412" s="5" t="str">
        <x:v>Исходные фото и видео обязательны</x:v>
      </x:c>
      <x:c r="I412" s="6" t="n">
        <x:v>110</x:v>
      </x:c>
      <x:c r="J412" s="6"/>
      <x:c r="K412" s="5" t="str">
        <x:v>До загрузки файла</x:v>
      </x:c>
      <x:c r="L412" s="5" t="str">
        <x:v>видео</x:v>
      </x:c>
      <x:c r="M412" s="7" t="str">
        <x:f>IF(J412="","",ROUND(J412*Tariffs!$D$5,2))</x:f>
      </x:c>
      <x:c r="N412" s="7" t="str">
        <x:f>IF(J412="","",ROUND(J412*Tariffs!$D$6,2))</x:f>
      </x:c>
      <x:c r="O412" s="7" t="str">
        <x:f>IF(J412="","",ROUND(J412*Tariffs!$D$7,2))</x:f>
      </x:c>
      <x:c r="P412" s="5" t="str">
        <x:v>https://neuromia.ru/app/video/kling-motion</x:v>
      </x:c>
      <x:c r="Q412" s="8" t="n">
        <x:v>46282.375</x:v>
      </x:c>
      <x:c r="R412" s="5" t="str">
        <x:v>Стартовая сумма соответствует 5 с до файла.</x:v>
      </x:c>
    </x:row>
    <x:row r="413" ht="22" customHeight="1">
      <x:c r="A413" s="5" t="str">
        <x:v>Видео</x:v>
      </x:c>
      <x:c r="B413" s="5" t="str">
        <x:v>Kling 3.0 Motion Control</x:v>
      </x:c>
      <x:c r="C413" s="5" t="str">
        <x:v>Фото + видео → видео</x:v>
      </x:c>
      <x:c r="D413" s="5" t="str">
        <x:v>720p</x:v>
      </x:c>
      <x:c r="E413" s="5" t="str">
        <x:v>—</x:v>
      </x:c>
      <x:c r="F413" s="5" t="n">
        <x:v>6</x:v>
      </x:c>
      <x:c r="G413" s="5" t="str">
        <x:v>—</x:v>
      </x:c>
      <x:c r="H413" s="5" t="str">
        <x:v>Синтетические тестовые фото и видео H.264</x:v>
      </x:c>
      <x:c r="I413" s="6" t="n">
        <x:v>132</x:v>
      </x:c>
      <x:c r="J413" s="6" t="n">
        <x:v>132</x:v>
      </x:c>
      <x:c r="K413" s="5" t="str">
        <x:v>Точная цена в редакторе</x:v>
      </x:c>
      <x:c r="L413" s="5" t="str">
        <x:v>видео</x:v>
      </x:c>
      <x:c r="M413" s="7" t="n">
        <x:f>IF(J413="","",ROUND(J413*Tariffs!$D$5,2))</x:f>
        <x:v>109.78</x:v>
      </x:c>
      <x:c r="N413" s="7" t="n">
        <x:f>IF(J413="","",ROUND(J413*Tariffs!$D$6,2))</x:f>
        <x:v>109.89</x:v>
      </x:c>
      <x:c r="O413" s="7" t="n">
        <x:f>IF(J413="","",ROUND(J413*Tariffs!$D$7,2))</x:f>
        <x:v>109.98</x:v>
      </x:c>
      <x:c r="P413" s="5" t="str">
        <x:v>https://neuromia.ru/app/video/kling-motion</x:v>
      </x:c>
      <x:c r="Q413" s="8" t="n">
        <x:v>46282.375</x:v>
      </x:c>
      <x:c r="R413" s="5" t="str">
        <x:v>Длительность взята из исходного видео; ставки подтверждены на 6 и 12 с.</x:v>
      </x:c>
    </x:row>
    <x:row r="414" ht="22" customHeight="1">
      <x:c r="A414" s="5" t="str">
        <x:v>Видео</x:v>
      </x:c>
      <x:c r="B414" s="5" t="str">
        <x:v>Kling 3.0 Motion Control</x:v>
      </x:c>
      <x:c r="C414" s="5" t="str">
        <x:v>Фото + видео → видео</x:v>
      </x:c>
      <x:c r="D414" s="5" t="str">
        <x:v>720p</x:v>
      </x:c>
      <x:c r="E414" s="5" t="str">
        <x:v>—</x:v>
      </x:c>
      <x:c r="F414" s="5" t="n">
        <x:v>12</x:v>
      </x:c>
      <x:c r="G414" s="5" t="str">
        <x:v>—</x:v>
      </x:c>
      <x:c r="H414" s="5" t="str">
        <x:v>Синтетические тестовые фото и видео H.264</x:v>
      </x:c>
      <x:c r="I414" s="6" t="n">
        <x:v>264</x:v>
      </x:c>
      <x:c r="J414" s="6" t="n">
        <x:v>264</x:v>
      </x:c>
      <x:c r="K414" s="5" t="str">
        <x:v>Точная цена в редакторе</x:v>
      </x:c>
      <x:c r="L414" s="5" t="str">
        <x:v>видео</x:v>
      </x:c>
      <x:c r="M414" s="7" t="n">
        <x:f>IF(J414="","",ROUND(J414*Tariffs!$D$5,2))</x:f>
        <x:v>219.56</x:v>
      </x:c>
      <x:c r="N414" s="7" t="n">
        <x:f>IF(J414="","",ROUND(J414*Tariffs!$D$6,2))</x:f>
        <x:v>219.78</x:v>
      </x:c>
      <x:c r="O414" s="7" t="n">
        <x:f>IF(J414="","",ROUND(J414*Tariffs!$D$7,2))</x:f>
        <x:v>219.96</x:v>
      </x:c>
      <x:c r="P414" s="5" t="str">
        <x:v>https://neuromia.ru/app/video/kling-motion</x:v>
      </x:c>
      <x:c r="Q414" s="8" t="n">
        <x:v>46282.375</x:v>
      </x:c>
      <x:c r="R414" s="5" t="str">
        <x:v>Длительность взята из исходного видео; ставки подтверждены на 6 и 12 с.</x:v>
      </x:c>
    </x:row>
    <x:row r="415" ht="22" customHeight="1">
      <x:c r="A415" s="5" t="str">
        <x:v>Видео</x:v>
      </x:c>
      <x:c r="B415" s="5" t="str">
        <x:v>Kling 3.0 Motion Control</x:v>
      </x:c>
      <x:c r="C415" s="5" t="str">
        <x:v>Фото + видео → видео</x:v>
      </x:c>
      <x:c r="D415" s="5" t="str">
        <x:v>1080p</x:v>
      </x:c>
      <x:c r="E415" s="5" t="str">
        <x:v>—</x:v>
      </x:c>
      <x:c r="F415" s="5" t="str">
        <x:v>без видео движения</x:v>
      </x:c>
      <x:c r="G415" s="5" t="str">
        <x:v>—</x:v>
      </x:c>
      <x:c r="H415" s="5" t="str">
        <x:v>Исходные фото и видео обязательны</x:v>
      </x:c>
      <x:c r="I415" s="6" t="n">
        <x:v>148.5</x:v>
      </x:c>
      <x:c r="J415" s="6"/>
      <x:c r="K415" s="5" t="str">
        <x:v>До загрузки файла</x:v>
      </x:c>
      <x:c r="L415" s="5" t="str">
        <x:v>видео</x:v>
      </x:c>
      <x:c r="M415" s="7" t="str">
        <x:f>IF(J415="","",ROUND(J415*Tariffs!$D$5,2))</x:f>
      </x:c>
      <x:c r="N415" s="7" t="str">
        <x:f>IF(J415="","",ROUND(J415*Tariffs!$D$6,2))</x:f>
      </x:c>
      <x:c r="O415" s="7" t="str">
        <x:f>IF(J415="","",ROUND(J415*Tariffs!$D$7,2))</x:f>
      </x:c>
      <x:c r="P415" s="5" t="str">
        <x:v>https://neuromia.ru/app/video/kling-motion</x:v>
      </x:c>
      <x:c r="Q415" s="8" t="n">
        <x:v>46282.375</x:v>
      </x:c>
      <x:c r="R415" s="5" t="str">
        <x:v>Стартовая сумма соответствует 5 с до файла.</x:v>
      </x:c>
    </x:row>
    <x:row r="416" ht="22" customHeight="1">
      <x:c r="A416" s="5" t="str">
        <x:v>Видео</x:v>
      </x:c>
      <x:c r="B416" s="5" t="str">
        <x:v>Kling 3.0 Motion Control</x:v>
      </x:c>
      <x:c r="C416" s="5" t="str">
        <x:v>Фото + видео → видео</x:v>
      </x:c>
      <x:c r="D416" s="5" t="str">
        <x:v>1080p</x:v>
      </x:c>
      <x:c r="E416" s="5" t="str">
        <x:v>—</x:v>
      </x:c>
      <x:c r="F416" s="5" t="n">
        <x:v>6</x:v>
      </x:c>
      <x:c r="G416" s="5" t="str">
        <x:v>—</x:v>
      </x:c>
      <x:c r="H416" s="5" t="str">
        <x:v>Синтетические тестовые фото и видео H.264</x:v>
      </x:c>
      <x:c r="I416" s="6" t="n">
        <x:v>178.2</x:v>
      </x:c>
      <x:c r="J416" s="6" t="n">
        <x:v>178.2</x:v>
      </x:c>
      <x:c r="K416" s="5" t="str">
        <x:v>Точная цена в редакторе</x:v>
      </x:c>
      <x:c r="L416" s="5" t="str">
        <x:v>видео</x:v>
      </x:c>
      <x:c r="M416" s="7" t="n">
        <x:f>IF(J416="","",ROUND(J416*Tariffs!$D$5,2))</x:f>
        <x:v>148.2</x:v>
      </x:c>
      <x:c r="N416" s="7" t="n">
        <x:f>IF(J416="","",ROUND(J416*Tariffs!$D$6,2))</x:f>
        <x:v>148.35</x:v>
      </x:c>
      <x:c r="O416" s="7" t="n">
        <x:f>IF(J416="","",ROUND(J416*Tariffs!$D$7,2))</x:f>
        <x:v>148.47</x:v>
      </x:c>
      <x:c r="P416" s="5" t="str">
        <x:v>https://neuromia.ru/app/video/kling-motion</x:v>
      </x:c>
      <x:c r="Q416" s="8" t="n">
        <x:v>46282.375</x:v>
      </x:c>
      <x:c r="R416" s="5" t="str">
        <x:v>Длительность взята из исходного видео; ставки подтверждены на 6 и 12 с.</x:v>
      </x:c>
    </x:row>
    <x:row r="417" ht="22" customHeight="1">
      <x:c r="A417" s="5" t="str">
        <x:v>Видео</x:v>
      </x:c>
      <x:c r="B417" s="5" t="str">
        <x:v>Kling 3.0 Motion Control</x:v>
      </x:c>
      <x:c r="C417" s="5" t="str">
        <x:v>Фото + видео → видео</x:v>
      </x:c>
      <x:c r="D417" s="5" t="str">
        <x:v>1080p</x:v>
      </x:c>
      <x:c r="E417" s="5" t="str">
        <x:v>—</x:v>
      </x:c>
      <x:c r="F417" s="5" t="n">
        <x:v>12</x:v>
      </x:c>
      <x:c r="G417" s="5" t="str">
        <x:v>—</x:v>
      </x:c>
      <x:c r="H417" s="5" t="str">
        <x:v>Синтетические тестовые фото и видео H.264</x:v>
      </x:c>
      <x:c r="I417" s="6" t="n">
        <x:v>356.4</x:v>
      </x:c>
      <x:c r="J417" s="6" t="n">
        <x:v>356.4</x:v>
      </x:c>
      <x:c r="K417" s="5" t="str">
        <x:v>Точная цена в редакторе</x:v>
      </x:c>
      <x:c r="L417" s="5" t="str">
        <x:v>видео</x:v>
      </x:c>
      <x:c r="M417" s="7" t="n">
        <x:f>IF(J417="","",ROUND(J417*Tariffs!$D$5,2))</x:f>
        <x:v>296.41</x:v>
      </x:c>
      <x:c r="N417" s="7" t="n">
        <x:f>IF(J417="","",ROUND(J417*Tariffs!$D$6,2))</x:f>
        <x:v>296.7</x:v>
      </x:c>
      <x:c r="O417" s="7" t="n">
        <x:f>IF(J417="","",ROUND(J417*Tariffs!$D$7,2))</x:f>
        <x:v>296.94</x:v>
      </x:c>
      <x:c r="P417" s="5" t="str">
        <x:v>https://neuromia.ru/app/video/kling-motion</x:v>
      </x:c>
      <x:c r="Q417" s="8" t="n">
        <x:v>46282.375</x:v>
      </x:c>
      <x:c r="R417" s="5" t="str">
        <x:v>Длительность взята из исходного видео; ставки подтверждены на 6 и 12 с.</x:v>
      </x:c>
    </x:row>
    <x:row r="418" ht="22" customHeight="1">
      <x:c r="A418" s="5" t="str">
        <x:v>Видео</x:v>
      </x:c>
      <x:c r="B418" s="5" t="str">
        <x:v>Wan 2.7</x:v>
      </x:c>
      <x:c r="C418" s="5" t="str">
        <x:v>Текст → видео</x:v>
      </x:c>
      <x:c r="D418" s="5" t="str">
        <x:v>720p</x:v>
      </x:c>
      <x:c r="E418" s="5" t="str">
        <x:v>—</x:v>
      </x:c>
      <x:c r="F418" s="5" t="n">
        <x:v>2</x:v>
      </x:c>
      <x:c r="G418" s="5" t="str">
        <x:v>выключен</x:v>
      </x:c>
      <x:c r="H418" s="5" t="str">
        <x:v>Без исходного файла</x:v>
      </x:c>
      <x:c r="I418" s="6" t="n">
        <x:v>35.2</x:v>
      </x:c>
      <x:c r="J418" s="6" t="n">
        <x:v>35.2</x:v>
      </x:c>
      <x:c r="K418" s="5" t="str">
        <x:v>Точная цена в редакторе</x:v>
      </x:c>
      <x:c r="L418" s="5" t="str">
        <x:v>видео</x:v>
      </x:c>
      <x:c r="M418" s="7" t="n">
        <x:f>IF(J418="","",ROUND(J418*Tariffs!$D$5,2))</x:f>
        <x:v>29.27</x:v>
      </x:c>
      <x:c r="N418" s="7" t="n">
        <x:f>IF(J418="","",ROUND(J418*Tariffs!$D$6,2))</x:f>
        <x:v>29.3</x:v>
      </x:c>
      <x:c r="O418" s="7" t="n">
        <x:f>IF(J418="","",ROUND(J418*Tariffs!$D$7,2))</x:f>
        <x:v>29.33</x:v>
      </x:c>
      <x:c r="P418" s="5" t="str">
        <x:v>https://neuromia.ru/app/video/wan</x:v>
      </x:c>
      <x:c r="Q418" s="8" t="n">
        <x:v>46282.375</x:v>
      </x:c>
      <x:c r="R418" s="5" t="str"/>
    </x:row>
    <x:row r="419" ht="22" customHeight="1">
      <x:c r="A419" s="5" t="str">
        <x:v>Видео</x:v>
      </x:c>
      <x:c r="B419" s="5" t="str">
        <x:v>Wan 2.7</x:v>
      </x:c>
      <x:c r="C419" s="5" t="str">
        <x:v>Текст → видео</x:v>
      </x:c>
      <x:c r="D419" s="5" t="str">
        <x:v>720p</x:v>
      </x:c>
      <x:c r="E419" s="5" t="str">
        <x:v>—</x:v>
      </x:c>
      <x:c r="F419" s="5" t="n">
        <x:v>3</x:v>
      </x:c>
      <x:c r="G419" s="5" t="str">
        <x:v>выключен</x:v>
      </x:c>
      <x:c r="H419" s="5" t="str">
        <x:v>Без исходного файла</x:v>
      </x:c>
      <x:c r="I419" s="6" t="n">
        <x:v>52.8</x:v>
      </x:c>
      <x:c r="J419" s="6" t="n">
        <x:v>52.8</x:v>
      </x:c>
      <x:c r="K419" s="5" t="str">
        <x:v>Точная цена в редакторе</x:v>
      </x:c>
      <x:c r="L419" s="5" t="str">
        <x:v>видео</x:v>
      </x:c>
      <x:c r="M419" s="7" t="n">
        <x:f>IF(J419="","",ROUND(J419*Tariffs!$D$5,2))</x:f>
        <x:v>43.91</x:v>
      </x:c>
      <x:c r="N419" s="7" t="n">
        <x:f>IF(J419="","",ROUND(J419*Tariffs!$D$6,2))</x:f>
        <x:v>43.96</x:v>
      </x:c>
      <x:c r="O419" s="7" t="n">
        <x:f>IF(J419="","",ROUND(J419*Tariffs!$D$7,2))</x:f>
        <x:v>43.99</x:v>
      </x:c>
      <x:c r="P419" s="5" t="str">
        <x:v>https://neuromia.ru/app/video/wan</x:v>
      </x:c>
      <x:c r="Q419" s="8" t="n">
        <x:v>46282.375</x:v>
      </x:c>
      <x:c r="R419" s="5" t="str"/>
    </x:row>
    <x:row r="420" ht="22" customHeight="1">
      <x:c r="A420" s="5" t="str">
        <x:v>Видео</x:v>
      </x:c>
      <x:c r="B420" s="5" t="str">
        <x:v>Wan 2.7</x:v>
      </x:c>
      <x:c r="C420" s="5" t="str">
        <x:v>Текст → видео</x:v>
      </x:c>
      <x:c r="D420" s="5" t="str">
        <x:v>720p</x:v>
      </x:c>
      <x:c r="E420" s="5" t="str">
        <x:v>—</x:v>
      </x:c>
      <x:c r="F420" s="5" t="n">
        <x:v>4</x:v>
      </x:c>
      <x:c r="G420" s="5" t="str">
        <x:v>выключен</x:v>
      </x:c>
      <x:c r="H420" s="5" t="str">
        <x:v>Без исходного файла</x:v>
      </x:c>
      <x:c r="I420" s="6" t="n">
        <x:v>70.4</x:v>
      </x:c>
      <x:c r="J420" s="6" t="n">
        <x:v>70.4</x:v>
      </x:c>
      <x:c r="K420" s="5" t="str">
        <x:v>Точная цена в редакторе</x:v>
      </x:c>
      <x:c r="L420" s="5" t="str">
        <x:v>видео</x:v>
      </x:c>
      <x:c r="M420" s="7" t="n">
        <x:f>IF(J420="","",ROUND(J420*Tariffs!$D$5,2))</x:f>
        <x:v>58.55</x:v>
      </x:c>
      <x:c r="N420" s="7" t="n">
        <x:f>IF(J420="","",ROUND(J420*Tariffs!$D$6,2))</x:f>
        <x:v>58.61</x:v>
      </x:c>
      <x:c r="O420" s="7" t="n">
        <x:f>IF(J420="","",ROUND(J420*Tariffs!$D$7,2))</x:f>
        <x:v>58.65</x:v>
      </x:c>
      <x:c r="P420" s="5" t="str">
        <x:v>https://neuromia.ru/app/video/wan</x:v>
      </x:c>
      <x:c r="Q420" s="8" t="n">
        <x:v>46282.375</x:v>
      </x:c>
      <x:c r="R420" s="5" t="str"/>
    </x:row>
    <x:row r="421" ht="22" customHeight="1">
      <x:c r="A421" s="5" t="str">
        <x:v>Видео</x:v>
      </x:c>
      <x:c r="B421" s="5" t="str">
        <x:v>Wan 2.7</x:v>
      </x:c>
      <x:c r="C421" s="5" t="str">
        <x:v>Текст → видео</x:v>
      </x:c>
      <x:c r="D421" s="5" t="str">
        <x:v>720p</x:v>
      </x:c>
      <x:c r="E421" s="5" t="str">
        <x:v>—</x:v>
      </x:c>
      <x:c r="F421" s="5" t="n">
        <x:v>5</x:v>
      </x:c>
      <x:c r="G421" s="5" t="str">
        <x:v>выключен</x:v>
      </x:c>
      <x:c r="H421" s="5" t="str">
        <x:v>Без исходного файла</x:v>
      </x:c>
      <x:c r="I421" s="6" t="n">
        <x:v>88</x:v>
      </x:c>
      <x:c r="J421" s="6" t="n">
        <x:v>88</x:v>
      </x:c>
      <x:c r="K421" s="5" t="str">
        <x:v>Точная цена в редакторе</x:v>
      </x:c>
      <x:c r="L421" s="5" t="str">
        <x:v>видео</x:v>
      </x:c>
      <x:c r="M421" s="7" t="n">
        <x:f>IF(J421="","",ROUND(J421*Tariffs!$D$5,2))</x:f>
        <x:v>73.19</x:v>
      </x:c>
      <x:c r="N421" s="7" t="n">
        <x:f>IF(J421="","",ROUND(J421*Tariffs!$D$6,2))</x:f>
        <x:v>73.26</x:v>
      </x:c>
      <x:c r="O421" s="7" t="n">
        <x:f>IF(J421="","",ROUND(J421*Tariffs!$D$7,2))</x:f>
        <x:v>73.32</x:v>
      </x:c>
      <x:c r="P421" s="5" t="str">
        <x:v>https://neuromia.ru/app/video/wan</x:v>
      </x:c>
      <x:c r="Q421" s="8" t="n">
        <x:v>46282.375</x:v>
      </x:c>
      <x:c r="R421" s="5" t="str"/>
    </x:row>
    <x:row r="422" ht="22" customHeight="1">
      <x:c r="A422" s="5" t="str">
        <x:v>Видео</x:v>
      </x:c>
      <x:c r="B422" s="5" t="str">
        <x:v>Wan 2.7</x:v>
      </x:c>
      <x:c r="C422" s="5" t="str">
        <x:v>Текст → видео</x:v>
      </x:c>
      <x:c r="D422" s="5" t="str">
        <x:v>720p</x:v>
      </x:c>
      <x:c r="E422" s="5" t="str">
        <x:v>—</x:v>
      </x:c>
      <x:c r="F422" s="5" t="n">
        <x:v>6</x:v>
      </x:c>
      <x:c r="G422" s="5" t="str">
        <x:v>выключен</x:v>
      </x:c>
      <x:c r="H422" s="5" t="str">
        <x:v>Без исходного файла</x:v>
      </x:c>
      <x:c r="I422" s="6" t="n">
        <x:v>105.6</x:v>
      </x:c>
      <x:c r="J422" s="6" t="n">
        <x:v>105.6</x:v>
      </x:c>
      <x:c r="K422" s="5" t="str">
        <x:v>Точная цена в редакторе</x:v>
      </x:c>
      <x:c r="L422" s="5" t="str">
        <x:v>видео</x:v>
      </x:c>
      <x:c r="M422" s="7" t="n">
        <x:f>IF(J422="","",ROUND(J422*Tariffs!$D$5,2))</x:f>
        <x:v>87.82</x:v>
      </x:c>
      <x:c r="N422" s="7" t="n">
        <x:f>IF(J422="","",ROUND(J422*Tariffs!$D$6,2))</x:f>
        <x:v>87.91</x:v>
      </x:c>
      <x:c r="O422" s="7" t="n">
        <x:f>IF(J422="","",ROUND(J422*Tariffs!$D$7,2))</x:f>
        <x:v>87.98</x:v>
      </x:c>
      <x:c r="P422" s="5" t="str">
        <x:v>https://neuromia.ru/app/video/wan</x:v>
      </x:c>
      <x:c r="Q422" s="8" t="n">
        <x:v>46282.375</x:v>
      </x:c>
      <x:c r="R422" s="5" t="str"/>
    </x:row>
    <x:row r="423" ht="22" customHeight="1">
      <x:c r="A423" s="5" t="str">
        <x:v>Видео</x:v>
      </x:c>
      <x:c r="B423" s="5" t="str">
        <x:v>Wan 2.7</x:v>
      </x:c>
      <x:c r="C423" s="5" t="str">
        <x:v>Текст → видео</x:v>
      </x:c>
      <x:c r="D423" s="5" t="str">
        <x:v>720p</x:v>
      </x:c>
      <x:c r="E423" s="5" t="str">
        <x:v>—</x:v>
      </x:c>
      <x:c r="F423" s="5" t="n">
        <x:v>7</x:v>
      </x:c>
      <x:c r="G423" s="5" t="str">
        <x:v>выключен</x:v>
      </x:c>
      <x:c r="H423" s="5" t="str">
        <x:v>Без исходного файла</x:v>
      </x:c>
      <x:c r="I423" s="6" t="n">
        <x:v>123.2</x:v>
      </x:c>
      <x:c r="J423" s="6" t="n">
        <x:v>123.2</x:v>
      </x:c>
      <x:c r="K423" s="5" t="str">
        <x:v>Точная цена в редакторе</x:v>
      </x:c>
      <x:c r="L423" s="5" t="str">
        <x:v>видео</x:v>
      </x:c>
      <x:c r="M423" s="7" t="n">
        <x:f>IF(J423="","",ROUND(J423*Tariffs!$D$5,2))</x:f>
        <x:v>102.46</x:v>
      </x:c>
      <x:c r="N423" s="7" t="n">
        <x:f>IF(J423="","",ROUND(J423*Tariffs!$D$6,2))</x:f>
        <x:v>102.56</x:v>
      </x:c>
      <x:c r="O423" s="7" t="n">
        <x:f>IF(J423="","",ROUND(J423*Tariffs!$D$7,2))</x:f>
        <x:v>102.65</x:v>
      </x:c>
      <x:c r="P423" s="5" t="str">
        <x:v>https://neuromia.ru/app/video/wan</x:v>
      </x:c>
      <x:c r="Q423" s="8" t="n">
        <x:v>46282.375</x:v>
      </x:c>
      <x:c r="R423" s="5" t="str"/>
    </x:row>
    <x:row r="424" ht="22" customHeight="1">
      <x:c r="A424" s="5" t="str">
        <x:v>Видео</x:v>
      </x:c>
      <x:c r="B424" s="5" t="str">
        <x:v>Wan 2.7</x:v>
      </x:c>
      <x:c r="C424" s="5" t="str">
        <x:v>Текст → видео</x:v>
      </x:c>
      <x:c r="D424" s="5" t="str">
        <x:v>720p</x:v>
      </x:c>
      <x:c r="E424" s="5" t="str">
        <x:v>—</x:v>
      </x:c>
      <x:c r="F424" s="5" t="n">
        <x:v>8</x:v>
      </x:c>
      <x:c r="G424" s="5" t="str">
        <x:v>выключен</x:v>
      </x:c>
      <x:c r="H424" s="5" t="str">
        <x:v>Без исходного файла</x:v>
      </x:c>
      <x:c r="I424" s="6" t="n">
        <x:v>140.8</x:v>
      </x:c>
      <x:c r="J424" s="6" t="n">
        <x:v>140.8</x:v>
      </x:c>
      <x:c r="K424" s="5" t="str">
        <x:v>Точная цена в редакторе</x:v>
      </x:c>
      <x:c r="L424" s="5" t="str">
        <x:v>видео</x:v>
      </x:c>
      <x:c r="M424" s="7" t="n">
        <x:f>IF(J424="","",ROUND(J424*Tariffs!$D$5,2))</x:f>
        <x:v>117.1</x:v>
      </x:c>
      <x:c r="N424" s="7" t="n">
        <x:f>IF(J424="","",ROUND(J424*Tariffs!$D$6,2))</x:f>
        <x:v>117.22</x:v>
      </x:c>
      <x:c r="O424" s="7" t="n">
        <x:f>IF(J424="","",ROUND(J424*Tariffs!$D$7,2))</x:f>
        <x:v>117.31</x:v>
      </x:c>
      <x:c r="P424" s="5" t="str">
        <x:v>https://neuromia.ru/app/video/wan</x:v>
      </x:c>
      <x:c r="Q424" s="8" t="n">
        <x:v>46282.375</x:v>
      </x:c>
      <x:c r="R424" s="5" t="str"/>
    </x:row>
    <x:row r="425" ht="22" customHeight="1">
      <x:c r="A425" s="5" t="str">
        <x:v>Видео</x:v>
      </x:c>
      <x:c r="B425" s="5" t="str">
        <x:v>Wan 2.7</x:v>
      </x:c>
      <x:c r="C425" s="5" t="str">
        <x:v>Текст → видео</x:v>
      </x:c>
      <x:c r="D425" s="5" t="str">
        <x:v>720p</x:v>
      </x:c>
      <x:c r="E425" s="5" t="str">
        <x:v>—</x:v>
      </x:c>
      <x:c r="F425" s="5" t="n">
        <x:v>9</x:v>
      </x:c>
      <x:c r="G425" s="5" t="str">
        <x:v>выключен</x:v>
      </x:c>
      <x:c r="H425" s="5" t="str">
        <x:v>Без исходного файла</x:v>
      </x:c>
      <x:c r="I425" s="6" t="n">
        <x:v>158.4</x:v>
      </x:c>
      <x:c r="J425" s="6" t="n">
        <x:v>158.4</x:v>
      </x:c>
      <x:c r="K425" s="5" t="str">
        <x:v>Точная цена в редакторе</x:v>
      </x:c>
      <x:c r="L425" s="5" t="str">
        <x:v>видео</x:v>
      </x:c>
      <x:c r="M425" s="7" t="n">
        <x:f>IF(J425="","",ROUND(J425*Tariffs!$D$5,2))</x:f>
        <x:v>131.74</x:v>
      </x:c>
      <x:c r="N425" s="7" t="n">
        <x:f>IF(J425="","",ROUND(J425*Tariffs!$D$6,2))</x:f>
        <x:v>131.87</x:v>
      </x:c>
      <x:c r="O425" s="7" t="n">
        <x:f>IF(J425="","",ROUND(J425*Tariffs!$D$7,2))</x:f>
        <x:v>131.97</x:v>
      </x:c>
      <x:c r="P425" s="5" t="str">
        <x:v>https://neuromia.ru/app/video/wan</x:v>
      </x:c>
      <x:c r="Q425" s="8" t="n">
        <x:v>46282.375</x:v>
      </x:c>
      <x:c r="R425" s="5" t="str"/>
    </x:row>
    <x:row r="426" ht="22" customHeight="1">
      <x:c r="A426" s="5" t="str">
        <x:v>Видео</x:v>
      </x:c>
      <x:c r="B426" s="5" t="str">
        <x:v>Wan 2.7</x:v>
      </x:c>
      <x:c r="C426" s="5" t="str">
        <x:v>Текст → видео</x:v>
      </x:c>
      <x:c r="D426" s="5" t="str">
        <x:v>720p</x:v>
      </x:c>
      <x:c r="E426" s="5" t="str">
        <x:v>—</x:v>
      </x:c>
      <x:c r="F426" s="5" t="n">
        <x:v>10</x:v>
      </x:c>
      <x:c r="G426" s="5" t="str">
        <x:v>выключен</x:v>
      </x:c>
      <x:c r="H426" s="5" t="str">
        <x:v>Без исходного файла</x:v>
      </x:c>
      <x:c r="I426" s="6" t="n">
        <x:v>176</x:v>
      </x:c>
      <x:c r="J426" s="6" t="n">
        <x:v>176</x:v>
      </x:c>
      <x:c r="K426" s="5" t="str">
        <x:v>Точная цена в редакторе</x:v>
      </x:c>
      <x:c r="L426" s="5" t="str">
        <x:v>видео</x:v>
      </x:c>
      <x:c r="M426" s="7" t="n">
        <x:f>IF(J426="","",ROUND(J426*Tariffs!$D$5,2))</x:f>
        <x:v>146.37</x:v>
      </x:c>
      <x:c r="N426" s="7" t="n">
        <x:f>IF(J426="","",ROUND(J426*Tariffs!$D$6,2))</x:f>
        <x:v>146.52</x:v>
      </x:c>
      <x:c r="O426" s="7" t="n">
        <x:f>IF(J426="","",ROUND(J426*Tariffs!$D$7,2))</x:f>
        <x:v>146.64</x:v>
      </x:c>
      <x:c r="P426" s="5" t="str">
        <x:v>https://neuromia.ru/app/video/wan</x:v>
      </x:c>
      <x:c r="Q426" s="8" t="n">
        <x:v>46282.375</x:v>
      </x:c>
      <x:c r="R426" s="5" t="str"/>
    </x:row>
    <x:row r="427" ht="22" customHeight="1">
      <x:c r="A427" s="5" t="str">
        <x:v>Видео</x:v>
      </x:c>
      <x:c r="B427" s="5" t="str">
        <x:v>Wan 2.7</x:v>
      </x:c>
      <x:c r="C427" s="5" t="str">
        <x:v>Текст → видео</x:v>
      </x:c>
      <x:c r="D427" s="5" t="str">
        <x:v>720p</x:v>
      </x:c>
      <x:c r="E427" s="5" t="str">
        <x:v>—</x:v>
      </x:c>
      <x:c r="F427" s="5" t="n">
        <x:v>11</x:v>
      </x:c>
      <x:c r="G427" s="5" t="str">
        <x:v>выключен</x:v>
      </x:c>
      <x:c r="H427" s="5" t="str">
        <x:v>Без исходного файла</x:v>
      </x:c>
      <x:c r="I427" s="6" t="n">
        <x:v>193.6</x:v>
      </x:c>
      <x:c r="J427" s="6" t="n">
        <x:v>193.6</x:v>
      </x:c>
      <x:c r="K427" s="5" t="str">
        <x:v>Точная цена в редакторе</x:v>
      </x:c>
      <x:c r="L427" s="5" t="str">
        <x:v>видео</x:v>
      </x:c>
      <x:c r="M427" s="7" t="n">
        <x:f>IF(J427="","",ROUND(J427*Tariffs!$D$5,2))</x:f>
        <x:v>161.01</x:v>
      </x:c>
      <x:c r="N427" s="7" t="n">
        <x:f>IF(J427="","",ROUND(J427*Tariffs!$D$6,2))</x:f>
        <x:v>161.17</x:v>
      </x:c>
      <x:c r="O427" s="7" t="n">
        <x:f>IF(J427="","",ROUND(J427*Tariffs!$D$7,2))</x:f>
        <x:v>161.3</x:v>
      </x:c>
      <x:c r="P427" s="5" t="str">
        <x:v>https://neuromia.ru/app/video/wan</x:v>
      </x:c>
      <x:c r="Q427" s="8" t="n">
        <x:v>46282.375</x:v>
      </x:c>
      <x:c r="R427" s="5" t="str"/>
    </x:row>
    <x:row r="428" ht="22" customHeight="1">
      <x:c r="A428" s="5" t="str">
        <x:v>Видео</x:v>
      </x:c>
      <x:c r="B428" s="5" t="str">
        <x:v>Wan 2.7</x:v>
      </x:c>
      <x:c r="C428" s="5" t="str">
        <x:v>Текст → видео</x:v>
      </x:c>
      <x:c r="D428" s="5" t="str">
        <x:v>720p</x:v>
      </x:c>
      <x:c r="E428" s="5" t="str">
        <x:v>—</x:v>
      </x:c>
      <x:c r="F428" s="5" t="n">
        <x:v>12</x:v>
      </x:c>
      <x:c r="G428" s="5" t="str">
        <x:v>выключен</x:v>
      </x:c>
      <x:c r="H428" s="5" t="str">
        <x:v>Без исходного файла</x:v>
      </x:c>
      <x:c r="I428" s="6" t="n">
        <x:v>211.2</x:v>
      </x:c>
      <x:c r="J428" s="6" t="n">
        <x:v>211.2</x:v>
      </x:c>
      <x:c r="K428" s="5" t="str">
        <x:v>Точная цена в редакторе</x:v>
      </x:c>
      <x:c r="L428" s="5" t="str">
        <x:v>видео</x:v>
      </x:c>
      <x:c r="M428" s="7" t="n">
        <x:f>IF(J428="","",ROUND(J428*Tariffs!$D$5,2))</x:f>
        <x:v>175.65</x:v>
      </x:c>
      <x:c r="N428" s="7" t="n">
        <x:f>IF(J428="","",ROUND(J428*Tariffs!$D$6,2))</x:f>
        <x:v>175.82</x:v>
      </x:c>
      <x:c r="O428" s="7" t="n">
        <x:f>IF(J428="","",ROUND(J428*Tariffs!$D$7,2))</x:f>
        <x:v>175.96</x:v>
      </x:c>
      <x:c r="P428" s="5" t="str">
        <x:v>https://neuromia.ru/app/video/wan</x:v>
      </x:c>
      <x:c r="Q428" s="8" t="n">
        <x:v>46282.375</x:v>
      </x:c>
      <x:c r="R428" s="5" t="str"/>
    </x:row>
    <x:row r="429" ht="22" customHeight="1">
      <x:c r="A429" s="5" t="str">
        <x:v>Видео</x:v>
      </x:c>
      <x:c r="B429" s="5" t="str">
        <x:v>Wan 2.7</x:v>
      </x:c>
      <x:c r="C429" s="5" t="str">
        <x:v>Текст → видео</x:v>
      </x:c>
      <x:c r="D429" s="5" t="str">
        <x:v>720p</x:v>
      </x:c>
      <x:c r="E429" s="5" t="str">
        <x:v>—</x:v>
      </x:c>
      <x:c r="F429" s="5" t="n">
        <x:v>13</x:v>
      </x:c>
      <x:c r="G429" s="5" t="str">
        <x:v>выключен</x:v>
      </x:c>
      <x:c r="H429" s="5" t="str">
        <x:v>Без исходного файла</x:v>
      </x:c>
      <x:c r="I429" s="6" t="n">
        <x:v>228.8</x:v>
      </x:c>
      <x:c r="J429" s="6" t="n">
        <x:v>228.8</x:v>
      </x:c>
      <x:c r="K429" s="5" t="str">
        <x:v>Точная цена в редакторе</x:v>
      </x:c>
      <x:c r="L429" s="5" t="str">
        <x:v>видео</x:v>
      </x:c>
      <x:c r="M429" s="7" t="n">
        <x:f>IF(J429="","",ROUND(J429*Tariffs!$D$5,2))</x:f>
        <x:v>190.29</x:v>
      </x:c>
      <x:c r="N429" s="7" t="n">
        <x:f>IF(J429="","",ROUND(J429*Tariffs!$D$6,2))</x:f>
        <x:v>190.48</x:v>
      </x:c>
      <x:c r="O429" s="7" t="n">
        <x:f>IF(J429="","",ROUND(J429*Tariffs!$D$7,2))</x:f>
        <x:v>190.63</x:v>
      </x:c>
      <x:c r="P429" s="5" t="str">
        <x:v>https://neuromia.ru/app/video/wan</x:v>
      </x:c>
      <x:c r="Q429" s="8" t="n">
        <x:v>46282.375</x:v>
      </x:c>
      <x:c r="R429" s="5" t="str"/>
    </x:row>
    <x:row r="430" ht="22" customHeight="1">
      <x:c r="A430" s="5" t="str">
        <x:v>Видео</x:v>
      </x:c>
      <x:c r="B430" s="5" t="str">
        <x:v>Wan 2.7</x:v>
      </x:c>
      <x:c r="C430" s="5" t="str">
        <x:v>Текст → видео</x:v>
      </x:c>
      <x:c r="D430" s="5" t="str">
        <x:v>720p</x:v>
      </x:c>
      <x:c r="E430" s="5" t="str">
        <x:v>—</x:v>
      </x:c>
      <x:c r="F430" s="5" t="n">
        <x:v>14</x:v>
      </x:c>
      <x:c r="G430" s="5" t="str">
        <x:v>выключен</x:v>
      </x:c>
      <x:c r="H430" s="5" t="str">
        <x:v>Без исходного файла</x:v>
      </x:c>
      <x:c r="I430" s="6" t="n">
        <x:v>246.4</x:v>
      </x:c>
      <x:c r="J430" s="6" t="n">
        <x:v>246.4</x:v>
      </x:c>
      <x:c r="K430" s="5" t="str">
        <x:v>Точная цена в редакторе</x:v>
      </x:c>
      <x:c r="L430" s="5" t="str">
        <x:v>видео</x:v>
      </x:c>
      <x:c r="M430" s="7" t="n">
        <x:f>IF(J430="","",ROUND(J430*Tariffs!$D$5,2))</x:f>
        <x:v>204.92</x:v>
      </x:c>
      <x:c r="N430" s="7" t="n">
        <x:f>IF(J430="","",ROUND(J430*Tariffs!$D$6,2))</x:f>
        <x:v>205.13</x:v>
      </x:c>
      <x:c r="O430" s="7" t="n">
        <x:f>IF(J430="","",ROUND(J430*Tariffs!$D$7,2))</x:f>
        <x:v>205.29</x:v>
      </x:c>
      <x:c r="P430" s="5" t="str">
        <x:v>https://neuromia.ru/app/video/wan</x:v>
      </x:c>
      <x:c r="Q430" s="8" t="n">
        <x:v>46282.375</x:v>
      </x:c>
      <x:c r="R430" s="5" t="str"/>
    </x:row>
    <x:row r="431" ht="22" customHeight="1">
      <x:c r="A431" s="5" t="str">
        <x:v>Видео</x:v>
      </x:c>
      <x:c r="B431" s="5" t="str">
        <x:v>Wan 2.7</x:v>
      </x:c>
      <x:c r="C431" s="5" t="str">
        <x:v>Текст → видео</x:v>
      </x:c>
      <x:c r="D431" s="5" t="str">
        <x:v>720p</x:v>
      </x:c>
      <x:c r="E431" s="5" t="str">
        <x:v>—</x:v>
      </x:c>
      <x:c r="F431" s="5" t="n">
        <x:v>15</x:v>
      </x:c>
      <x:c r="G431" s="5" t="str">
        <x:v>выключен</x:v>
      </x:c>
      <x:c r="H431" s="5" t="str">
        <x:v>Без исходного файла</x:v>
      </x:c>
      <x:c r="I431" s="6" t="n">
        <x:v>264</x:v>
      </x:c>
      <x:c r="J431" s="6" t="n">
        <x:v>264</x:v>
      </x:c>
      <x:c r="K431" s="5" t="str">
        <x:v>Точная цена в редакторе</x:v>
      </x:c>
      <x:c r="L431" s="5" t="str">
        <x:v>видео</x:v>
      </x:c>
      <x:c r="M431" s="7" t="n">
        <x:f>IF(J431="","",ROUND(J431*Tariffs!$D$5,2))</x:f>
        <x:v>219.56</x:v>
      </x:c>
      <x:c r="N431" s="7" t="n">
        <x:f>IF(J431="","",ROUND(J431*Tariffs!$D$6,2))</x:f>
        <x:v>219.78</x:v>
      </x:c>
      <x:c r="O431" s="7" t="n">
        <x:f>IF(J431="","",ROUND(J431*Tariffs!$D$7,2))</x:f>
        <x:v>219.96</x:v>
      </x:c>
      <x:c r="P431" s="5" t="str">
        <x:v>https://neuromia.ru/app/video/wan</x:v>
      </x:c>
      <x:c r="Q431" s="8" t="n">
        <x:v>46282.375</x:v>
      </x:c>
      <x:c r="R431" s="5" t="str"/>
    </x:row>
    <x:row r="432" ht="22" customHeight="1">
      <x:c r="A432" s="5" t="str">
        <x:v>Видео</x:v>
      </x:c>
      <x:c r="B432" s="5" t="str">
        <x:v>Wan 2.7</x:v>
      </x:c>
      <x:c r="C432" s="5" t="str">
        <x:v>Текст → видео</x:v>
      </x:c>
      <x:c r="D432" s="5" t="str">
        <x:v>1080p</x:v>
      </x:c>
      <x:c r="E432" s="5" t="str">
        <x:v>—</x:v>
      </x:c>
      <x:c r="F432" s="5" t="n">
        <x:v>2</x:v>
      </x:c>
      <x:c r="G432" s="5" t="str">
        <x:v>выключен</x:v>
      </x:c>
      <x:c r="H432" s="5" t="str">
        <x:v>Без исходного файла</x:v>
      </x:c>
      <x:c r="I432" s="6" t="n">
        <x:v>52.8</x:v>
      </x:c>
      <x:c r="J432" s="6" t="n">
        <x:v>52.8</x:v>
      </x:c>
      <x:c r="K432" s="5" t="str">
        <x:v>Точная цена в редакторе</x:v>
      </x:c>
      <x:c r="L432" s="5" t="str">
        <x:v>видео</x:v>
      </x:c>
      <x:c r="M432" s="7" t="n">
        <x:f>IF(J432="","",ROUND(J432*Tariffs!$D$5,2))</x:f>
        <x:v>43.91</x:v>
      </x:c>
      <x:c r="N432" s="7" t="n">
        <x:f>IF(J432="","",ROUND(J432*Tariffs!$D$6,2))</x:f>
        <x:v>43.96</x:v>
      </x:c>
      <x:c r="O432" s="7" t="n">
        <x:f>IF(J432="","",ROUND(J432*Tariffs!$D$7,2))</x:f>
        <x:v>43.99</x:v>
      </x:c>
      <x:c r="P432" s="5" t="str">
        <x:v>https://neuromia.ru/app/video/wan</x:v>
      </x:c>
      <x:c r="Q432" s="8" t="n">
        <x:v>46282.375</x:v>
      </x:c>
      <x:c r="R432" s="5" t="str"/>
    </x:row>
    <x:row r="433" ht="22" customHeight="1">
      <x:c r="A433" s="5" t="str">
        <x:v>Видео</x:v>
      </x:c>
      <x:c r="B433" s="5" t="str">
        <x:v>Wan 2.7</x:v>
      </x:c>
      <x:c r="C433" s="5" t="str">
        <x:v>Текст → видео</x:v>
      </x:c>
      <x:c r="D433" s="5" t="str">
        <x:v>1080p</x:v>
      </x:c>
      <x:c r="E433" s="5" t="str">
        <x:v>—</x:v>
      </x:c>
      <x:c r="F433" s="5" t="n">
        <x:v>3</x:v>
      </x:c>
      <x:c r="G433" s="5" t="str">
        <x:v>выключен</x:v>
      </x:c>
      <x:c r="H433" s="5" t="str">
        <x:v>Без исходного файла</x:v>
      </x:c>
      <x:c r="I433" s="6" t="n">
        <x:v>79.2</x:v>
      </x:c>
      <x:c r="J433" s="6" t="n">
        <x:v>79.2</x:v>
      </x:c>
      <x:c r="K433" s="5" t="str">
        <x:v>Точная цена в редакторе</x:v>
      </x:c>
      <x:c r="L433" s="5" t="str">
        <x:v>видео</x:v>
      </x:c>
      <x:c r="M433" s="7" t="n">
        <x:f>IF(J433="","",ROUND(J433*Tariffs!$D$5,2))</x:f>
        <x:v>65.87</x:v>
      </x:c>
      <x:c r="N433" s="7" t="n">
        <x:f>IF(J433="","",ROUND(J433*Tariffs!$D$6,2))</x:f>
        <x:v>65.93</x:v>
      </x:c>
      <x:c r="O433" s="7" t="n">
        <x:f>IF(J433="","",ROUND(J433*Tariffs!$D$7,2))</x:f>
        <x:v>65.99</x:v>
      </x:c>
      <x:c r="P433" s="5" t="str">
        <x:v>https://neuromia.ru/app/video/wan</x:v>
      </x:c>
      <x:c r="Q433" s="8" t="n">
        <x:v>46282.375</x:v>
      </x:c>
      <x:c r="R433" s="5" t="str"/>
    </x:row>
    <x:row r="434" ht="22" customHeight="1">
      <x:c r="A434" s="5" t="str">
        <x:v>Видео</x:v>
      </x:c>
      <x:c r="B434" s="5" t="str">
        <x:v>Wan 2.7</x:v>
      </x:c>
      <x:c r="C434" s="5" t="str">
        <x:v>Текст → видео</x:v>
      </x:c>
      <x:c r="D434" s="5" t="str">
        <x:v>1080p</x:v>
      </x:c>
      <x:c r="E434" s="5" t="str">
        <x:v>—</x:v>
      </x:c>
      <x:c r="F434" s="5" t="n">
        <x:v>4</x:v>
      </x:c>
      <x:c r="G434" s="5" t="str">
        <x:v>выключен</x:v>
      </x:c>
      <x:c r="H434" s="5" t="str">
        <x:v>Без исходного файла</x:v>
      </x:c>
      <x:c r="I434" s="6" t="n">
        <x:v>105.6</x:v>
      </x:c>
      <x:c r="J434" s="6" t="n">
        <x:v>105.6</x:v>
      </x:c>
      <x:c r="K434" s="5" t="str">
        <x:v>Точная цена в редакторе</x:v>
      </x:c>
      <x:c r="L434" s="5" t="str">
        <x:v>видео</x:v>
      </x:c>
      <x:c r="M434" s="7" t="n">
        <x:f>IF(J434="","",ROUND(J434*Tariffs!$D$5,2))</x:f>
        <x:v>87.82</x:v>
      </x:c>
      <x:c r="N434" s="7" t="n">
        <x:f>IF(J434="","",ROUND(J434*Tariffs!$D$6,2))</x:f>
        <x:v>87.91</x:v>
      </x:c>
      <x:c r="O434" s="7" t="n">
        <x:f>IF(J434="","",ROUND(J434*Tariffs!$D$7,2))</x:f>
        <x:v>87.98</x:v>
      </x:c>
      <x:c r="P434" s="5" t="str">
        <x:v>https://neuromia.ru/app/video/wan</x:v>
      </x:c>
      <x:c r="Q434" s="8" t="n">
        <x:v>46282.375</x:v>
      </x:c>
      <x:c r="R434" s="5" t="str"/>
    </x:row>
    <x:row r="435" ht="22" customHeight="1">
      <x:c r="A435" s="5" t="str">
        <x:v>Видео</x:v>
      </x:c>
      <x:c r="B435" s="5" t="str">
        <x:v>Wan 2.7</x:v>
      </x:c>
      <x:c r="C435" s="5" t="str">
        <x:v>Текст → видео</x:v>
      </x:c>
      <x:c r="D435" s="5" t="str">
        <x:v>1080p</x:v>
      </x:c>
      <x:c r="E435" s="5" t="str">
        <x:v>—</x:v>
      </x:c>
      <x:c r="F435" s="5" t="n">
        <x:v>5</x:v>
      </x:c>
      <x:c r="G435" s="5" t="str">
        <x:v>выключен</x:v>
      </x:c>
      <x:c r="H435" s="5" t="str">
        <x:v>Без исходного файла</x:v>
      </x:c>
      <x:c r="I435" s="6" t="n">
        <x:v>132</x:v>
      </x:c>
      <x:c r="J435" s="6" t="n">
        <x:v>132</x:v>
      </x:c>
      <x:c r="K435" s="5" t="str">
        <x:v>Точная цена в редакторе</x:v>
      </x:c>
      <x:c r="L435" s="5" t="str">
        <x:v>видео</x:v>
      </x:c>
      <x:c r="M435" s="7" t="n">
        <x:f>IF(J435="","",ROUND(J435*Tariffs!$D$5,2))</x:f>
        <x:v>109.78</x:v>
      </x:c>
      <x:c r="N435" s="7" t="n">
        <x:f>IF(J435="","",ROUND(J435*Tariffs!$D$6,2))</x:f>
        <x:v>109.89</x:v>
      </x:c>
      <x:c r="O435" s="7" t="n">
        <x:f>IF(J435="","",ROUND(J435*Tariffs!$D$7,2))</x:f>
        <x:v>109.98</x:v>
      </x:c>
      <x:c r="P435" s="5" t="str">
        <x:v>https://neuromia.ru/app/video/wan</x:v>
      </x:c>
      <x:c r="Q435" s="8" t="n">
        <x:v>46282.375</x:v>
      </x:c>
      <x:c r="R435" s="5" t="str"/>
    </x:row>
    <x:row r="436" ht="22" customHeight="1">
      <x:c r="A436" s="5" t="str">
        <x:v>Видео</x:v>
      </x:c>
      <x:c r="B436" s="5" t="str">
        <x:v>Wan 2.7</x:v>
      </x:c>
      <x:c r="C436" s="5" t="str">
        <x:v>Текст → видео</x:v>
      </x:c>
      <x:c r="D436" s="5" t="str">
        <x:v>1080p</x:v>
      </x:c>
      <x:c r="E436" s="5" t="str">
        <x:v>—</x:v>
      </x:c>
      <x:c r="F436" s="5" t="n">
        <x:v>6</x:v>
      </x:c>
      <x:c r="G436" s="5" t="str">
        <x:v>выключен</x:v>
      </x:c>
      <x:c r="H436" s="5" t="str">
        <x:v>Без исходного файла</x:v>
      </x:c>
      <x:c r="I436" s="6" t="n">
        <x:v>158.4</x:v>
      </x:c>
      <x:c r="J436" s="6" t="n">
        <x:v>158.4</x:v>
      </x:c>
      <x:c r="K436" s="5" t="str">
        <x:v>Точная цена в редакторе</x:v>
      </x:c>
      <x:c r="L436" s="5" t="str">
        <x:v>видео</x:v>
      </x:c>
      <x:c r="M436" s="7" t="n">
        <x:f>IF(J436="","",ROUND(J436*Tariffs!$D$5,2))</x:f>
        <x:v>131.74</x:v>
      </x:c>
      <x:c r="N436" s="7" t="n">
        <x:f>IF(J436="","",ROUND(J436*Tariffs!$D$6,2))</x:f>
        <x:v>131.87</x:v>
      </x:c>
      <x:c r="O436" s="7" t="n">
        <x:f>IF(J436="","",ROUND(J436*Tariffs!$D$7,2))</x:f>
        <x:v>131.97</x:v>
      </x:c>
      <x:c r="P436" s="5" t="str">
        <x:v>https://neuromia.ru/app/video/wan</x:v>
      </x:c>
      <x:c r="Q436" s="8" t="n">
        <x:v>46282.375</x:v>
      </x:c>
      <x:c r="R436" s="5" t="str"/>
    </x:row>
    <x:row r="437" ht="22" customHeight="1">
      <x:c r="A437" s="5" t="str">
        <x:v>Видео</x:v>
      </x:c>
      <x:c r="B437" s="5" t="str">
        <x:v>Wan 2.7</x:v>
      </x:c>
      <x:c r="C437" s="5" t="str">
        <x:v>Текст → видео</x:v>
      </x:c>
      <x:c r="D437" s="5" t="str">
        <x:v>1080p</x:v>
      </x:c>
      <x:c r="E437" s="5" t="str">
        <x:v>—</x:v>
      </x:c>
      <x:c r="F437" s="5" t="n">
        <x:v>7</x:v>
      </x:c>
      <x:c r="G437" s="5" t="str">
        <x:v>выключен</x:v>
      </x:c>
      <x:c r="H437" s="5" t="str">
        <x:v>Без исходного файла</x:v>
      </x:c>
      <x:c r="I437" s="6" t="n">
        <x:v>184.8</x:v>
      </x:c>
      <x:c r="J437" s="6" t="n">
        <x:v>184.8</x:v>
      </x:c>
      <x:c r="K437" s="5" t="str">
        <x:v>Точная цена в редакторе</x:v>
      </x:c>
      <x:c r="L437" s="5" t="str">
        <x:v>видео</x:v>
      </x:c>
      <x:c r="M437" s="7" t="n">
        <x:f>IF(J437="","",ROUND(J437*Tariffs!$D$5,2))</x:f>
        <x:v>153.69</x:v>
      </x:c>
      <x:c r="N437" s="7" t="n">
        <x:f>IF(J437="","",ROUND(J437*Tariffs!$D$6,2))</x:f>
        <x:v>153.85</x:v>
      </x:c>
      <x:c r="O437" s="7" t="n">
        <x:f>IF(J437="","",ROUND(J437*Tariffs!$D$7,2))</x:f>
        <x:v>153.97</x:v>
      </x:c>
      <x:c r="P437" s="5" t="str">
        <x:v>https://neuromia.ru/app/video/wan</x:v>
      </x:c>
      <x:c r="Q437" s="8" t="n">
        <x:v>46282.375</x:v>
      </x:c>
      <x:c r="R437" s="5" t="str"/>
    </x:row>
    <x:row r="438" ht="22" customHeight="1">
      <x:c r="A438" s="5" t="str">
        <x:v>Видео</x:v>
      </x:c>
      <x:c r="B438" s="5" t="str">
        <x:v>Wan 2.7</x:v>
      </x:c>
      <x:c r="C438" s="5" t="str">
        <x:v>Текст → видео</x:v>
      </x:c>
      <x:c r="D438" s="5" t="str">
        <x:v>1080p</x:v>
      </x:c>
      <x:c r="E438" s="5" t="str">
        <x:v>—</x:v>
      </x:c>
      <x:c r="F438" s="5" t="n">
        <x:v>8</x:v>
      </x:c>
      <x:c r="G438" s="5" t="str">
        <x:v>выключен</x:v>
      </x:c>
      <x:c r="H438" s="5" t="str">
        <x:v>Без исходного файла</x:v>
      </x:c>
      <x:c r="I438" s="6" t="n">
        <x:v>211.2</x:v>
      </x:c>
      <x:c r="J438" s="6" t="n">
        <x:v>211.2</x:v>
      </x:c>
      <x:c r="K438" s="5" t="str">
        <x:v>Точная цена в редакторе</x:v>
      </x:c>
      <x:c r="L438" s="5" t="str">
        <x:v>видео</x:v>
      </x:c>
      <x:c r="M438" s="7" t="n">
        <x:f>IF(J438="","",ROUND(J438*Tariffs!$D$5,2))</x:f>
        <x:v>175.65</x:v>
      </x:c>
      <x:c r="N438" s="7" t="n">
        <x:f>IF(J438="","",ROUND(J438*Tariffs!$D$6,2))</x:f>
        <x:v>175.82</x:v>
      </x:c>
      <x:c r="O438" s="7" t="n">
        <x:f>IF(J438="","",ROUND(J438*Tariffs!$D$7,2))</x:f>
        <x:v>175.96</x:v>
      </x:c>
      <x:c r="P438" s="5" t="str">
        <x:v>https://neuromia.ru/app/video/wan</x:v>
      </x:c>
      <x:c r="Q438" s="8" t="n">
        <x:v>46282.375</x:v>
      </x:c>
      <x:c r="R438" s="5" t="str"/>
    </x:row>
    <x:row r="439" ht="22" customHeight="1">
      <x:c r="A439" s="5" t="str">
        <x:v>Видео</x:v>
      </x:c>
      <x:c r="B439" s="5" t="str">
        <x:v>Wan 2.7</x:v>
      </x:c>
      <x:c r="C439" s="5" t="str">
        <x:v>Текст → видео</x:v>
      </x:c>
      <x:c r="D439" s="5" t="str">
        <x:v>1080p</x:v>
      </x:c>
      <x:c r="E439" s="5" t="str">
        <x:v>—</x:v>
      </x:c>
      <x:c r="F439" s="5" t="n">
        <x:v>9</x:v>
      </x:c>
      <x:c r="G439" s="5" t="str">
        <x:v>выключен</x:v>
      </x:c>
      <x:c r="H439" s="5" t="str">
        <x:v>Без исходного файла</x:v>
      </x:c>
      <x:c r="I439" s="6" t="n">
        <x:v>237.6</x:v>
      </x:c>
      <x:c r="J439" s="6" t="n">
        <x:v>237.6</x:v>
      </x:c>
      <x:c r="K439" s="5" t="str">
        <x:v>Точная цена в редакторе</x:v>
      </x:c>
      <x:c r="L439" s="5" t="str">
        <x:v>видео</x:v>
      </x:c>
      <x:c r="M439" s="7" t="n">
        <x:f>IF(J439="","",ROUND(J439*Tariffs!$D$5,2))</x:f>
        <x:v>197.6</x:v>
      </x:c>
      <x:c r="N439" s="7" t="n">
        <x:f>IF(J439="","",ROUND(J439*Tariffs!$D$6,2))</x:f>
        <x:v>197.8</x:v>
      </x:c>
      <x:c r="O439" s="7" t="n">
        <x:f>IF(J439="","",ROUND(J439*Tariffs!$D$7,2))</x:f>
        <x:v>197.96</x:v>
      </x:c>
      <x:c r="P439" s="5" t="str">
        <x:v>https://neuromia.ru/app/video/wan</x:v>
      </x:c>
      <x:c r="Q439" s="8" t="n">
        <x:v>46282.375</x:v>
      </x:c>
      <x:c r="R439" s="5" t="str"/>
    </x:row>
    <x:row r="440" ht="22" customHeight="1">
      <x:c r="A440" s="5" t="str">
        <x:v>Видео</x:v>
      </x:c>
      <x:c r="B440" s="5" t="str">
        <x:v>Wan 2.7</x:v>
      </x:c>
      <x:c r="C440" s="5" t="str">
        <x:v>Текст → видео</x:v>
      </x:c>
      <x:c r="D440" s="5" t="str">
        <x:v>1080p</x:v>
      </x:c>
      <x:c r="E440" s="5" t="str">
        <x:v>—</x:v>
      </x:c>
      <x:c r="F440" s="5" t="n">
        <x:v>10</x:v>
      </x:c>
      <x:c r="G440" s="5" t="str">
        <x:v>выключен</x:v>
      </x:c>
      <x:c r="H440" s="5" t="str">
        <x:v>Без исходного файла</x:v>
      </x:c>
      <x:c r="I440" s="6" t="n">
        <x:v>264</x:v>
      </x:c>
      <x:c r="J440" s="6" t="n">
        <x:v>264</x:v>
      </x:c>
      <x:c r="K440" s="5" t="str">
        <x:v>Точная цена в редакторе</x:v>
      </x:c>
      <x:c r="L440" s="5" t="str">
        <x:v>видео</x:v>
      </x:c>
      <x:c r="M440" s="7" t="n">
        <x:f>IF(J440="","",ROUND(J440*Tariffs!$D$5,2))</x:f>
        <x:v>219.56</x:v>
      </x:c>
      <x:c r="N440" s="7" t="n">
        <x:f>IF(J440="","",ROUND(J440*Tariffs!$D$6,2))</x:f>
        <x:v>219.78</x:v>
      </x:c>
      <x:c r="O440" s="7" t="n">
        <x:f>IF(J440="","",ROUND(J440*Tariffs!$D$7,2))</x:f>
        <x:v>219.96</x:v>
      </x:c>
      <x:c r="P440" s="5" t="str">
        <x:v>https://neuromia.ru/app/video/wan</x:v>
      </x:c>
      <x:c r="Q440" s="8" t="n">
        <x:v>46282.375</x:v>
      </x:c>
      <x:c r="R440" s="5" t="str"/>
    </x:row>
    <x:row r="441" ht="22" customHeight="1">
      <x:c r="A441" s="5" t="str">
        <x:v>Видео</x:v>
      </x:c>
      <x:c r="B441" s="5" t="str">
        <x:v>Wan 2.7</x:v>
      </x:c>
      <x:c r="C441" s="5" t="str">
        <x:v>Текст → видео</x:v>
      </x:c>
      <x:c r="D441" s="5" t="str">
        <x:v>1080p</x:v>
      </x:c>
      <x:c r="E441" s="5" t="str">
        <x:v>—</x:v>
      </x:c>
      <x:c r="F441" s="5" t="n">
        <x:v>11</x:v>
      </x:c>
      <x:c r="G441" s="5" t="str">
        <x:v>выключен</x:v>
      </x:c>
      <x:c r="H441" s="5" t="str">
        <x:v>Без исходного файла</x:v>
      </x:c>
      <x:c r="I441" s="6" t="n">
        <x:v>290.4</x:v>
      </x:c>
      <x:c r="J441" s="6" t="n">
        <x:v>290.4</x:v>
      </x:c>
      <x:c r="K441" s="5" t="str">
        <x:v>Точная цена в редакторе</x:v>
      </x:c>
      <x:c r="L441" s="5" t="str">
        <x:v>видео</x:v>
      </x:c>
      <x:c r="M441" s="7" t="n">
        <x:f>IF(J441="","",ROUND(J441*Tariffs!$D$5,2))</x:f>
        <x:v>241.52</x:v>
      </x:c>
      <x:c r="N441" s="7" t="n">
        <x:f>IF(J441="","",ROUND(J441*Tariffs!$D$6,2))</x:f>
        <x:v>241.76</x:v>
      </x:c>
      <x:c r="O441" s="7" t="n">
        <x:f>IF(J441="","",ROUND(J441*Tariffs!$D$7,2))</x:f>
        <x:v>241.95</x:v>
      </x:c>
      <x:c r="P441" s="5" t="str">
        <x:v>https://neuromia.ru/app/video/wan</x:v>
      </x:c>
      <x:c r="Q441" s="8" t="n">
        <x:v>46282.375</x:v>
      </x:c>
      <x:c r="R441" s="5" t="str"/>
    </x:row>
    <x:row r="442" ht="22" customHeight="1">
      <x:c r="A442" s="5" t="str">
        <x:v>Видео</x:v>
      </x:c>
      <x:c r="B442" s="5" t="str">
        <x:v>Wan 2.7</x:v>
      </x:c>
      <x:c r="C442" s="5" t="str">
        <x:v>Текст → видео</x:v>
      </x:c>
      <x:c r="D442" s="5" t="str">
        <x:v>1080p</x:v>
      </x:c>
      <x:c r="E442" s="5" t="str">
        <x:v>—</x:v>
      </x:c>
      <x:c r="F442" s="5" t="n">
        <x:v>12</x:v>
      </x:c>
      <x:c r="G442" s="5" t="str">
        <x:v>выключен</x:v>
      </x:c>
      <x:c r="H442" s="5" t="str">
        <x:v>Без исходного файла</x:v>
      </x:c>
      <x:c r="I442" s="6" t="n">
        <x:v>316.8</x:v>
      </x:c>
      <x:c r="J442" s="6" t="n">
        <x:v>316.8</x:v>
      </x:c>
      <x:c r="K442" s="5" t="str">
        <x:v>Точная цена в редакторе</x:v>
      </x:c>
      <x:c r="L442" s="5" t="str">
        <x:v>видео</x:v>
      </x:c>
      <x:c r="M442" s="7" t="n">
        <x:f>IF(J442="","",ROUND(J442*Tariffs!$D$5,2))</x:f>
        <x:v>263.47</x:v>
      </x:c>
      <x:c r="N442" s="7" t="n">
        <x:f>IF(J442="","",ROUND(J442*Tariffs!$D$6,2))</x:f>
        <x:v>263.74</x:v>
      </x:c>
      <x:c r="O442" s="7" t="n">
        <x:f>IF(J442="","",ROUND(J442*Tariffs!$D$7,2))</x:f>
        <x:v>263.95</x:v>
      </x:c>
      <x:c r="P442" s="5" t="str">
        <x:v>https://neuromia.ru/app/video/wan</x:v>
      </x:c>
      <x:c r="Q442" s="8" t="n">
        <x:v>46282.375</x:v>
      </x:c>
      <x:c r="R442" s="5" t="str"/>
    </x:row>
    <x:row r="443" ht="22" customHeight="1">
      <x:c r="A443" s="5" t="str">
        <x:v>Видео</x:v>
      </x:c>
      <x:c r="B443" s="5" t="str">
        <x:v>Wan 2.7</x:v>
      </x:c>
      <x:c r="C443" s="5" t="str">
        <x:v>Текст → видео</x:v>
      </x:c>
      <x:c r="D443" s="5" t="str">
        <x:v>1080p</x:v>
      </x:c>
      <x:c r="E443" s="5" t="str">
        <x:v>—</x:v>
      </x:c>
      <x:c r="F443" s="5" t="n">
        <x:v>13</x:v>
      </x:c>
      <x:c r="G443" s="5" t="str">
        <x:v>выключен</x:v>
      </x:c>
      <x:c r="H443" s="5" t="str">
        <x:v>Без исходного файла</x:v>
      </x:c>
      <x:c r="I443" s="6" t="n">
        <x:v>343.2</x:v>
      </x:c>
      <x:c r="J443" s="6" t="n">
        <x:v>343.2</x:v>
      </x:c>
      <x:c r="K443" s="5" t="str">
        <x:v>Точная цена в редакторе</x:v>
      </x:c>
      <x:c r="L443" s="5" t="str">
        <x:v>видео</x:v>
      </x:c>
      <x:c r="M443" s="7" t="n">
        <x:f>IF(J443="","",ROUND(J443*Tariffs!$D$5,2))</x:f>
        <x:v>285.43</x:v>
      </x:c>
      <x:c r="N443" s="7" t="n">
        <x:f>IF(J443="","",ROUND(J443*Tariffs!$D$6,2))</x:f>
        <x:v>285.71</x:v>
      </x:c>
      <x:c r="O443" s="7" t="n">
        <x:f>IF(J443="","",ROUND(J443*Tariffs!$D$7,2))</x:f>
        <x:v>285.94</x:v>
      </x:c>
      <x:c r="P443" s="5" t="str">
        <x:v>https://neuromia.ru/app/video/wan</x:v>
      </x:c>
      <x:c r="Q443" s="8" t="n">
        <x:v>46282.375</x:v>
      </x:c>
      <x:c r="R443" s="5" t="str"/>
    </x:row>
    <x:row r="444" ht="22" customHeight="1">
      <x:c r="A444" s="5" t="str">
        <x:v>Видео</x:v>
      </x:c>
      <x:c r="B444" s="5" t="str">
        <x:v>Wan 2.7</x:v>
      </x:c>
      <x:c r="C444" s="5" t="str">
        <x:v>Текст → видео</x:v>
      </x:c>
      <x:c r="D444" s="5" t="str">
        <x:v>1080p</x:v>
      </x:c>
      <x:c r="E444" s="5" t="str">
        <x:v>—</x:v>
      </x:c>
      <x:c r="F444" s="5" t="n">
        <x:v>14</x:v>
      </x:c>
      <x:c r="G444" s="5" t="str">
        <x:v>выключен</x:v>
      </x:c>
      <x:c r="H444" s="5" t="str">
        <x:v>Без исходного файла</x:v>
      </x:c>
      <x:c r="I444" s="6" t="n">
        <x:v>369.6</x:v>
      </x:c>
      <x:c r="J444" s="6" t="n">
        <x:v>369.6</x:v>
      </x:c>
      <x:c r="K444" s="5" t="str">
        <x:v>Точная цена в редакторе</x:v>
      </x:c>
      <x:c r="L444" s="5" t="str">
        <x:v>видео</x:v>
      </x:c>
      <x:c r="M444" s="7" t="n">
        <x:f>IF(J444="","",ROUND(J444*Tariffs!$D$5,2))</x:f>
        <x:v>307.38</x:v>
      </x:c>
      <x:c r="N444" s="7" t="n">
        <x:f>IF(J444="","",ROUND(J444*Tariffs!$D$6,2))</x:f>
        <x:v>307.69</x:v>
      </x:c>
      <x:c r="O444" s="7" t="n">
        <x:f>IF(J444="","",ROUND(J444*Tariffs!$D$7,2))</x:f>
        <x:v>307.94</x:v>
      </x:c>
      <x:c r="P444" s="5" t="str">
        <x:v>https://neuromia.ru/app/video/wan</x:v>
      </x:c>
      <x:c r="Q444" s="8" t="n">
        <x:v>46282.375</x:v>
      </x:c>
      <x:c r="R444" s="5" t="str"/>
    </x:row>
    <x:row r="445" ht="22" customHeight="1">
      <x:c r="A445" s="5" t="str">
        <x:v>Видео</x:v>
      </x:c>
      <x:c r="B445" s="5" t="str">
        <x:v>Wan 2.7</x:v>
      </x:c>
      <x:c r="C445" s="5" t="str">
        <x:v>Текст → видео</x:v>
      </x:c>
      <x:c r="D445" s="5" t="str">
        <x:v>1080p</x:v>
      </x:c>
      <x:c r="E445" s="5" t="str">
        <x:v>—</x:v>
      </x:c>
      <x:c r="F445" s="5" t="n">
        <x:v>15</x:v>
      </x:c>
      <x:c r="G445" s="5" t="str">
        <x:v>выключен</x:v>
      </x:c>
      <x:c r="H445" s="5" t="str">
        <x:v>Без исходного файла</x:v>
      </x:c>
      <x:c r="I445" s="6" t="n">
        <x:v>396</x:v>
      </x:c>
      <x:c r="J445" s="6" t="n">
        <x:v>396</x:v>
      </x:c>
      <x:c r="K445" s="5" t="str">
        <x:v>Точная цена в редакторе</x:v>
      </x:c>
      <x:c r="L445" s="5" t="str">
        <x:v>видео</x:v>
      </x:c>
      <x:c r="M445" s="7" t="n">
        <x:f>IF(J445="","",ROUND(J445*Tariffs!$D$5,2))</x:f>
        <x:v>329.34</x:v>
      </x:c>
      <x:c r="N445" s="7" t="n">
        <x:f>IF(J445="","",ROUND(J445*Tariffs!$D$6,2))</x:f>
        <x:v>329.67</x:v>
      </x:c>
      <x:c r="O445" s="7" t="n">
        <x:f>IF(J445="","",ROUND(J445*Tariffs!$D$7,2))</x:f>
        <x:v>329.93</x:v>
      </x:c>
      <x:c r="P445" s="5" t="str">
        <x:v>https://neuromia.ru/app/video/wan</x:v>
      </x:c>
      <x:c r="Q445" s="8" t="n">
        <x:v>46282.375</x:v>
      </x:c>
      <x:c r="R445" s="5" t="str"/>
    </x:row>
    <x:row r="446" ht="22" customHeight="1">
      <x:c r="A446" s="5" t="str">
        <x:v>Видео</x:v>
      </x:c>
      <x:c r="B446" s="5" t="str">
        <x:v>Wan 2.7</x:v>
      </x:c>
      <x:c r="C446" s="5" t="str">
        <x:v>Текст → видео</x:v>
      </x:c>
      <x:c r="D446" s="5" t="str">
        <x:v>1080p</x:v>
      </x:c>
      <x:c r="E446" s="5" t="str">
        <x:v>—</x:v>
      </x:c>
      <x:c r="F446" s="5" t="n">
        <x:v>15</x:v>
      </x:c>
      <x:c r="G446" s="5" t="str">
        <x:v>включен</x:v>
      </x:c>
      <x:c r="H446" s="5" t="str">
        <x:v>Без исходного файла</x:v>
      </x:c>
      <x:c r="I446" s="6" t="n">
        <x:v>396</x:v>
      </x:c>
      <x:c r="J446" s="6" t="n">
        <x:v>396</x:v>
      </x:c>
      <x:c r="K446" s="5" t="str">
        <x:v>Точная цена в редакторе</x:v>
      </x:c>
      <x:c r="L446" s="5" t="str">
        <x:v>видео</x:v>
      </x:c>
      <x:c r="M446" s="7" t="n">
        <x:f>IF(J446="","",ROUND(J446*Tariffs!$D$5,2))</x:f>
        <x:v>329.34</x:v>
      </x:c>
      <x:c r="N446" s="7" t="n">
        <x:f>IF(J446="","",ROUND(J446*Tariffs!$D$6,2))</x:f>
        <x:v>329.67</x:v>
      </x:c>
      <x:c r="O446" s="7" t="n">
        <x:f>IF(J446="","",ROUND(J446*Tariffs!$D$7,2))</x:f>
        <x:v>329.93</x:v>
      </x:c>
      <x:c r="P446" s="5" t="str">
        <x:v>https://neuromia.ru/app/video/wan</x:v>
      </x:c>
      <x:c r="Q446" s="8" t="n">
        <x:v>46282.375</x:v>
      </x:c>
      <x:c r="R446" s="5" t="str"/>
    </x:row>
    <x:row r="447" ht="22" customHeight="1">
      <x:c r="A447" s="5" t="str">
        <x:v>Видео</x:v>
      </x:c>
      <x:c r="B447" s="5" t="str">
        <x:v>Wan 2.7</x:v>
      </x:c>
      <x:c r="C447" s="5" t="str">
        <x:v>Текст → видео</x:v>
      </x:c>
      <x:c r="D447" s="5" t="str">
        <x:v>720p</x:v>
      </x:c>
      <x:c r="E447" s="5" t="str">
        <x:v>—</x:v>
      </x:c>
      <x:c r="F447" s="5" t="n">
        <x:v>5</x:v>
      </x:c>
      <x:c r="G447" s="5" t="str">
        <x:v>включен</x:v>
      </x:c>
      <x:c r="H447" s="5" t="str">
        <x:v>Без исходного файла</x:v>
      </x:c>
      <x:c r="I447" s="6" t="n">
        <x:v>88</x:v>
      </x:c>
      <x:c r="J447" s="6" t="n">
        <x:v>88</x:v>
      </x:c>
      <x:c r="K447" s="5" t="str">
        <x:v>Точная цена в редакторе</x:v>
      </x:c>
      <x:c r="L447" s="5" t="str">
        <x:v>видео</x:v>
      </x:c>
      <x:c r="M447" s="7" t="n">
        <x:f>IF(J447="","",ROUND(J447*Tariffs!$D$5,2))</x:f>
        <x:v>73.19</x:v>
      </x:c>
      <x:c r="N447" s="7" t="n">
        <x:f>IF(J447="","",ROUND(J447*Tariffs!$D$6,2))</x:f>
        <x:v>73.26</x:v>
      </x:c>
      <x:c r="O447" s="7" t="n">
        <x:f>IF(J447="","",ROUND(J447*Tariffs!$D$7,2))</x:f>
        <x:v>73.32</x:v>
      </x:c>
      <x:c r="P447" s="5" t="str">
        <x:v>https://neuromia.ru/app/video/wan</x:v>
      </x:c>
      <x:c r="Q447" s="8" t="n">
        <x:v>46282.375</x:v>
      </x:c>
      <x:c r="R447" s="5" t="str"/>
    </x:row>
    <x:row r="448" ht="22" customHeight="1">
      <x:c r="A448" s="5" t="str">
        <x:v>Видео</x:v>
      </x:c>
      <x:c r="B448" s="5" t="str">
        <x:v>Wan 2.7 Edit</x:v>
      </x:c>
      <x:c r="C448" s="5" t="str">
        <x:v>Видео → видео</x:v>
      </x:c>
      <x:c r="D448" s="5" t="str">
        <x:v>—</x:v>
      </x:c>
      <x:c r="E448" s="5" t="str">
        <x:v>—</x:v>
      </x:c>
      <x:c r="F448" s="5" t="n">
        <x:v>2</x:v>
      </x:c>
      <x:c r="G448" s="5" t="str">
        <x:v>—</x:v>
      </x:c>
      <x:c r="H448" s="5" t="str">
        <x:v>Без исходного файла</x:v>
      </x:c>
      <x:c r="I448" s="6" t="n">
        <x:v>35.2</x:v>
      </x:c>
      <x:c r="J448" s="6"/>
      <x:c r="K448" s="5" t="str">
        <x:v>До загрузки файла</x:v>
      </x:c>
      <x:c r="L448" s="5" t="str">
        <x:v>видео</x:v>
      </x:c>
      <x:c r="M448" s="7" t="str">
        <x:f>IF(J448="","",ROUND(J448*Tariffs!$D$5,2))</x:f>
      </x:c>
      <x:c r="N448" s="7" t="str">
        <x:f>IF(J448="","",ROUND(J448*Tariffs!$D$6,2))</x:f>
      </x:c>
      <x:c r="O448" s="7" t="str">
        <x:f>IF(J448="","",ROUND(J448*Tariffs!$D$7,2))</x:f>
      </x:c>
      <x:c r="P448" s="5" t="str">
        <x:v>https://neuromia.ru/app/video/wan</x:v>
      </x:c>
      <x:c r="Q448" s="8" t="n">
        <x:v>46282.375</x:v>
      </x:c>
      <x:c r="R448" s="5" t="str">
        <x:v>До загрузки видео редактор показывал 17,6 кр/с.</x:v>
      </x:c>
    </x:row>
    <x:row r="449" ht="22" customHeight="1">
      <x:c r="A449" s="5" t="str">
        <x:v>Видео</x:v>
      </x:c>
      <x:c r="B449" s="5" t="str">
        <x:v>Wan 2.7 Edit</x:v>
      </x:c>
      <x:c r="C449" s="5" t="str">
        <x:v>Видео → видео</x:v>
      </x:c>
      <x:c r="D449" s="5" t="str">
        <x:v>—</x:v>
      </x:c>
      <x:c r="E449" s="5" t="str">
        <x:v>—</x:v>
      </x:c>
      <x:c r="F449" s="5" t="n">
        <x:v>3</x:v>
      </x:c>
      <x:c r="G449" s="5" t="str">
        <x:v>—</x:v>
      </x:c>
      <x:c r="H449" s="5" t="str">
        <x:v>Без исходного файла</x:v>
      </x:c>
      <x:c r="I449" s="6" t="n">
        <x:v>52.8</x:v>
      </x:c>
      <x:c r="J449" s="6"/>
      <x:c r="K449" s="5" t="str">
        <x:v>До загрузки файла</x:v>
      </x:c>
      <x:c r="L449" s="5" t="str">
        <x:v>видео</x:v>
      </x:c>
      <x:c r="M449" s="7" t="str">
        <x:f>IF(J449="","",ROUND(J449*Tariffs!$D$5,2))</x:f>
      </x:c>
      <x:c r="N449" s="7" t="str">
        <x:f>IF(J449="","",ROUND(J449*Tariffs!$D$6,2))</x:f>
      </x:c>
      <x:c r="O449" s="7" t="str">
        <x:f>IF(J449="","",ROUND(J449*Tariffs!$D$7,2))</x:f>
      </x:c>
      <x:c r="P449" s="5" t="str">
        <x:v>https://neuromia.ru/app/video/wan</x:v>
      </x:c>
      <x:c r="Q449" s="8" t="n">
        <x:v>46282.375</x:v>
      </x:c>
      <x:c r="R449" s="5" t="str">
        <x:v>До загрузки видео редактор показывал 17,6 кр/с.</x:v>
      </x:c>
    </x:row>
    <x:row r="450" ht="22" customHeight="1">
      <x:c r="A450" s="5" t="str">
        <x:v>Видео</x:v>
      </x:c>
      <x:c r="B450" s="5" t="str">
        <x:v>Wan 2.7 Edit</x:v>
      </x:c>
      <x:c r="C450" s="5" t="str">
        <x:v>Видео → видео</x:v>
      </x:c>
      <x:c r="D450" s="5" t="str">
        <x:v>—</x:v>
      </x:c>
      <x:c r="E450" s="5" t="str">
        <x:v>—</x:v>
      </x:c>
      <x:c r="F450" s="5" t="n">
        <x:v>4</x:v>
      </x:c>
      <x:c r="G450" s="5" t="str">
        <x:v>—</x:v>
      </x:c>
      <x:c r="H450" s="5" t="str">
        <x:v>Без исходного файла</x:v>
      </x:c>
      <x:c r="I450" s="6" t="n">
        <x:v>70.4</x:v>
      </x:c>
      <x:c r="J450" s="6"/>
      <x:c r="K450" s="5" t="str">
        <x:v>До загрузки файла</x:v>
      </x:c>
      <x:c r="L450" s="5" t="str">
        <x:v>видео</x:v>
      </x:c>
      <x:c r="M450" s="7" t="str">
        <x:f>IF(J450="","",ROUND(J450*Tariffs!$D$5,2))</x:f>
      </x:c>
      <x:c r="N450" s="7" t="str">
        <x:f>IF(J450="","",ROUND(J450*Tariffs!$D$6,2))</x:f>
      </x:c>
      <x:c r="O450" s="7" t="str">
        <x:f>IF(J450="","",ROUND(J450*Tariffs!$D$7,2))</x:f>
      </x:c>
      <x:c r="P450" s="5" t="str">
        <x:v>https://neuromia.ru/app/video/wan</x:v>
      </x:c>
      <x:c r="Q450" s="8" t="n">
        <x:v>46282.375</x:v>
      </x:c>
      <x:c r="R450" s="5" t="str">
        <x:v>До загрузки видео редактор показывал 17,6 кр/с.</x:v>
      </x:c>
    </x:row>
    <x:row r="451" ht="22" customHeight="1">
      <x:c r="A451" s="5" t="str">
        <x:v>Видео</x:v>
      </x:c>
      <x:c r="B451" s="5" t="str">
        <x:v>Wan 2.7 Edit</x:v>
      </x:c>
      <x:c r="C451" s="5" t="str">
        <x:v>Видео → видео</x:v>
      </x:c>
      <x:c r="D451" s="5" t="str">
        <x:v>—</x:v>
      </x:c>
      <x:c r="E451" s="5" t="str">
        <x:v>—</x:v>
      </x:c>
      <x:c r="F451" s="5" t="n">
        <x:v>5</x:v>
      </x:c>
      <x:c r="G451" s="5" t="str">
        <x:v>—</x:v>
      </x:c>
      <x:c r="H451" s="5" t="str">
        <x:v>Без исходного файла</x:v>
      </x:c>
      <x:c r="I451" s="6" t="n">
        <x:v>88</x:v>
      </x:c>
      <x:c r="J451" s="6"/>
      <x:c r="K451" s="5" t="str">
        <x:v>До загрузки файла</x:v>
      </x:c>
      <x:c r="L451" s="5" t="str">
        <x:v>видео</x:v>
      </x:c>
      <x:c r="M451" s="7" t="str">
        <x:f>IF(J451="","",ROUND(J451*Tariffs!$D$5,2))</x:f>
      </x:c>
      <x:c r="N451" s="7" t="str">
        <x:f>IF(J451="","",ROUND(J451*Tariffs!$D$6,2))</x:f>
      </x:c>
      <x:c r="O451" s="7" t="str">
        <x:f>IF(J451="","",ROUND(J451*Tariffs!$D$7,2))</x:f>
      </x:c>
      <x:c r="P451" s="5" t="str">
        <x:v>https://neuromia.ru/app/video/wan</x:v>
      </x:c>
      <x:c r="Q451" s="8" t="n">
        <x:v>46282.375</x:v>
      </x:c>
      <x:c r="R451" s="5" t="str">
        <x:v>До загрузки видео редактор показывал 17,6 кр/с.</x:v>
      </x:c>
    </x:row>
    <x:row r="452" ht="22" customHeight="1">
      <x:c r="A452" s="5" t="str">
        <x:v>Видео</x:v>
      </x:c>
      <x:c r="B452" s="5" t="str">
        <x:v>Wan 2.7 Edit</x:v>
      </x:c>
      <x:c r="C452" s="5" t="str">
        <x:v>Видео → видео</x:v>
      </x:c>
      <x:c r="D452" s="5" t="str">
        <x:v>—</x:v>
      </x:c>
      <x:c r="E452" s="5" t="str">
        <x:v>—</x:v>
      </x:c>
      <x:c r="F452" s="5" t="n">
        <x:v>6</x:v>
      </x:c>
      <x:c r="G452" s="5" t="str">
        <x:v>—</x:v>
      </x:c>
      <x:c r="H452" s="5" t="str">
        <x:v>Без исходного файла</x:v>
      </x:c>
      <x:c r="I452" s="6" t="n">
        <x:v>105.6</x:v>
      </x:c>
      <x:c r="J452" s="6"/>
      <x:c r="K452" s="5" t="str">
        <x:v>До загрузки файла</x:v>
      </x:c>
      <x:c r="L452" s="5" t="str">
        <x:v>видео</x:v>
      </x:c>
      <x:c r="M452" s="7" t="str">
        <x:f>IF(J452="","",ROUND(J452*Tariffs!$D$5,2))</x:f>
      </x:c>
      <x:c r="N452" s="7" t="str">
        <x:f>IF(J452="","",ROUND(J452*Tariffs!$D$6,2))</x:f>
      </x:c>
      <x:c r="O452" s="7" t="str">
        <x:f>IF(J452="","",ROUND(J452*Tariffs!$D$7,2))</x:f>
      </x:c>
      <x:c r="P452" s="5" t="str">
        <x:v>https://neuromia.ru/app/video/wan</x:v>
      </x:c>
      <x:c r="Q452" s="8" t="n">
        <x:v>46282.375</x:v>
      </x:c>
      <x:c r="R452" s="5" t="str">
        <x:v>До загрузки видео редактор показывал 17,6 кр/с.</x:v>
      </x:c>
    </x:row>
    <x:row r="453" ht="22" customHeight="1">
      <x:c r="A453" s="5" t="str">
        <x:v>Видео</x:v>
      </x:c>
      <x:c r="B453" s="5" t="str">
        <x:v>Wan 2.7 Edit</x:v>
      </x:c>
      <x:c r="C453" s="5" t="str">
        <x:v>Видео → видео</x:v>
      </x:c>
      <x:c r="D453" s="5" t="str">
        <x:v>—</x:v>
      </x:c>
      <x:c r="E453" s="5" t="str">
        <x:v>—</x:v>
      </x:c>
      <x:c r="F453" s="5" t="n">
        <x:v>8</x:v>
      </x:c>
      <x:c r="G453" s="5" t="str">
        <x:v>—</x:v>
      </x:c>
      <x:c r="H453" s="5" t="str">
        <x:v>Без исходного файла</x:v>
      </x:c>
      <x:c r="I453" s="6" t="n">
        <x:v>140.8</x:v>
      </x:c>
      <x:c r="J453" s="6"/>
      <x:c r="K453" s="5" t="str">
        <x:v>До загрузки файла</x:v>
      </x:c>
      <x:c r="L453" s="5" t="str">
        <x:v>видео</x:v>
      </x:c>
      <x:c r="M453" s="7" t="str">
        <x:f>IF(J453="","",ROUND(J453*Tariffs!$D$5,2))</x:f>
      </x:c>
      <x:c r="N453" s="7" t="str">
        <x:f>IF(J453="","",ROUND(J453*Tariffs!$D$6,2))</x:f>
      </x:c>
      <x:c r="O453" s="7" t="str">
        <x:f>IF(J453="","",ROUND(J453*Tariffs!$D$7,2))</x:f>
      </x:c>
      <x:c r="P453" s="5" t="str">
        <x:v>https://neuromia.ru/app/video/wan</x:v>
      </x:c>
      <x:c r="Q453" s="8" t="n">
        <x:v>46282.375</x:v>
      </x:c>
      <x:c r="R453" s="5" t="str">
        <x:v>До загрузки видео редактор показывал 17,6 кр/с.</x:v>
      </x:c>
    </x:row>
    <x:row r="454" ht="22" customHeight="1">
      <x:c r="A454" s="5" t="str">
        <x:v>Видео</x:v>
      </x:c>
      <x:c r="B454" s="5" t="str">
        <x:v>Wan 2.7 Edit</x:v>
      </x:c>
      <x:c r="C454" s="5" t="str">
        <x:v>Видео → видео</x:v>
      </x:c>
      <x:c r="D454" s="5" t="str">
        <x:v>—</x:v>
      </x:c>
      <x:c r="E454" s="5" t="str">
        <x:v>—</x:v>
      </x:c>
      <x:c r="F454" s="5" t="n">
        <x:v>10</x:v>
      </x:c>
      <x:c r="G454" s="5" t="str">
        <x:v>—</x:v>
      </x:c>
      <x:c r="H454" s="5" t="str">
        <x:v>Без исходного файла</x:v>
      </x:c>
      <x:c r="I454" s="6" t="n">
        <x:v>176</x:v>
      </x:c>
      <x:c r="J454" s="6"/>
      <x:c r="K454" s="5" t="str">
        <x:v>До загрузки файла</x:v>
      </x:c>
      <x:c r="L454" s="5" t="str">
        <x:v>видео</x:v>
      </x:c>
      <x:c r="M454" s="7" t="str">
        <x:f>IF(J454="","",ROUND(J454*Tariffs!$D$5,2))</x:f>
      </x:c>
      <x:c r="N454" s="7" t="str">
        <x:f>IF(J454="","",ROUND(J454*Tariffs!$D$6,2))</x:f>
      </x:c>
      <x:c r="O454" s="7" t="str">
        <x:f>IF(J454="","",ROUND(J454*Tariffs!$D$7,2))</x:f>
      </x:c>
      <x:c r="P454" s="5" t="str">
        <x:v>https://neuromia.ru/app/video/wan</x:v>
      </x:c>
      <x:c r="Q454" s="8" t="n">
        <x:v>46282.375</x:v>
      </x:c>
      <x:c r="R454" s="5" t="str">
        <x:v>До загрузки видео редактор показывал 17,6 кр/с.</x:v>
      </x:c>
    </x:row>
    <x:row r="455" ht="22" customHeight="1">
      <x:c r="A455" s="5" t="str">
        <x:v>Видео</x:v>
      </x:c>
      <x:c r="B455" s="5" t="str">
        <x:v>Wan 2.7 Edit</x:v>
      </x:c>
      <x:c r="C455" s="5" t="str">
        <x:v>Видео → видео</x:v>
      </x:c>
      <x:c r="D455" s="5" t="str">
        <x:v>—</x:v>
      </x:c>
      <x:c r="E455" s="5" t="str">
        <x:v>—</x:v>
      </x:c>
      <x:c r="F455" s="5" t="n">
        <x:v>2</x:v>
      </x:c>
      <x:c r="G455" s="5" t="str">
        <x:v>—</x:v>
      </x:c>
      <x:c r="H455" s="5" t="str">
        <x:v>Синтетическое видео H.264 загружено</x:v>
      </x:c>
      <x:c r="I455" s="6" t="n">
        <x:v>52.8</x:v>
      </x:c>
      <x:c r="J455" s="6"/>
      <x:c r="K455" s="5" t="str">
        <x:v>Дополнительный файл требуется</x:v>
      </x:c>
      <x:c r="L455" s="5" t="str">
        <x:v>видео</x:v>
      </x:c>
      <x:c r="M455" s="7" t="str">
        <x:f>IF(J455="","",ROUND(J455*Tariffs!$D$5,2))</x:f>
      </x:c>
      <x:c r="N455" s="7" t="str">
        <x:f>IF(J455="","",ROUND(J455*Tariffs!$D$6,2))</x:f>
      </x:c>
      <x:c r="O455" s="7" t="str">
        <x:f>IF(J455="","",ROUND(J455*Tariffs!$D$7,2))</x:f>
      </x:c>
      <x:c r="P455" s="5" t="str">
        <x:v>https://neuromia.ru/app/video/wan</x:v>
      </x:c>
      <x:c r="Q455" s="8" t="n">
        <x:v>46282.375</x:v>
      </x:c>
      <x:c r="R455" s="5" t="str">
        <x:v>После видео цена выросла до 26,4 кр/с, но кнопка всё ещё требует изображение, поля изображения нет. Итог не подтверждён.</x:v>
      </x:c>
    </x:row>
    <x:row r="456" ht="22" customHeight="1">
      <x:c r="A456" s="5" t="str">
        <x:v>Видео</x:v>
      </x:c>
      <x:c r="B456" s="5" t="str">
        <x:v>Wan 2.7 Edit</x:v>
      </x:c>
      <x:c r="C456" s="5" t="str">
        <x:v>Видео → видео</x:v>
      </x:c>
      <x:c r="D456" s="5" t="str">
        <x:v>—</x:v>
      </x:c>
      <x:c r="E456" s="5" t="str">
        <x:v>—</x:v>
      </x:c>
      <x:c r="F456" s="5" t="n">
        <x:v>3</x:v>
      </x:c>
      <x:c r="G456" s="5" t="str">
        <x:v>—</x:v>
      </x:c>
      <x:c r="H456" s="5" t="str">
        <x:v>Синтетическое видео H.264 загружено</x:v>
      </x:c>
      <x:c r="I456" s="6" t="n">
        <x:v>79.2</x:v>
      </x:c>
      <x:c r="J456" s="6"/>
      <x:c r="K456" s="5" t="str">
        <x:v>Дополнительный файл требуется</x:v>
      </x:c>
      <x:c r="L456" s="5" t="str">
        <x:v>видео</x:v>
      </x:c>
      <x:c r="M456" s="7" t="str">
        <x:f>IF(J456="","",ROUND(J456*Tariffs!$D$5,2))</x:f>
      </x:c>
      <x:c r="N456" s="7" t="str">
        <x:f>IF(J456="","",ROUND(J456*Tariffs!$D$6,2))</x:f>
      </x:c>
      <x:c r="O456" s="7" t="str">
        <x:f>IF(J456="","",ROUND(J456*Tariffs!$D$7,2))</x:f>
      </x:c>
      <x:c r="P456" s="5" t="str">
        <x:v>https://neuromia.ru/app/video/wan</x:v>
      </x:c>
      <x:c r="Q456" s="8" t="n">
        <x:v>46282.375</x:v>
      </x:c>
      <x:c r="R456" s="5" t="str">
        <x:v>После видео цена выросла до 26,4 кр/с, но кнопка всё ещё требует изображение, поля изображения нет. Итог не подтверждён.</x:v>
      </x:c>
    </x:row>
    <x:row r="457" ht="22" customHeight="1">
      <x:c r="A457" s="5" t="str">
        <x:v>Видео</x:v>
      </x:c>
      <x:c r="B457" s="5" t="str">
        <x:v>Wan 2.7 Edit</x:v>
      </x:c>
      <x:c r="C457" s="5" t="str">
        <x:v>Видео → видео</x:v>
      </x:c>
      <x:c r="D457" s="5" t="str">
        <x:v>—</x:v>
      </x:c>
      <x:c r="E457" s="5" t="str">
        <x:v>—</x:v>
      </x:c>
      <x:c r="F457" s="5" t="n">
        <x:v>4</x:v>
      </x:c>
      <x:c r="G457" s="5" t="str">
        <x:v>—</x:v>
      </x:c>
      <x:c r="H457" s="5" t="str">
        <x:v>Синтетическое видео H.264 загружено</x:v>
      </x:c>
      <x:c r="I457" s="6" t="n">
        <x:v>105.6</x:v>
      </x:c>
      <x:c r="J457" s="6"/>
      <x:c r="K457" s="5" t="str">
        <x:v>Дополнительный файл требуется</x:v>
      </x:c>
      <x:c r="L457" s="5" t="str">
        <x:v>видео</x:v>
      </x:c>
      <x:c r="M457" s="7" t="str">
        <x:f>IF(J457="","",ROUND(J457*Tariffs!$D$5,2))</x:f>
      </x:c>
      <x:c r="N457" s="7" t="str">
        <x:f>IF(J457="","",ROUND(J457*Tariffs!$D$6,2))</x:f>
      </x:c>
      <x:c r="O457" s="7" t="str">
        <x:f>IF(J457="","",ROUND(J457*Tariffs!$D$7,2))</x:f>
      </x:c>
      <x:c r="P457" s="5" t="str">
        <x:v>https://neuromia.ru/app/video/wan</x:v>
      </x:c>
      <x:c r="Q457" s="8" t="n">
        <x:v>46282.375</x:v>
      </x:c>
      <x:c r="R457" s="5" t="str">
        <x:v>После видео цена выросла до 26,4 кр/с, но кнопка всё ещё требует изображение, поля изображения нет. Итог не подтверждён.</x:v>
      </x:c>
    </x:row>
    <x:row r="458" ht="22" customHeight="1">
      <x:c r="A458" s="5" t="str">
        <x:v>Видео</x:v>
      </x:c>
      <x:c r="B458" s="5" t="str">
        <x:v>Wan 2.7 Edit</x:v>
      </x:c>
      <x:c r="C458" s="5" t="str">
        <x:v>Видео → видео</x:v>
      </x:c>
      <x:c r="D458" s="5" t="str">
        <x:v>—</x:v>
      </x:c>
      <x:c r="E458" s="5" t="str">
        <x:v>—</x:v>
      </x:c>
      <x:c r="F458" s="5" t="n">
        <x:v>5</x:v>
      </x:c>
      <x:c r="G458" s="5" t="str">
        <x:v>—</x:v>
      </x:c>
      <x:c r="H458" s="5" t="str">
        <x:v>Синтетическое видео H.264 загружено</x:v>
      </x:c>
      <x:c r="I458" s="6" t="n">
        <x:v>132</x:v>
      </x:c>
      <x:c r="J458" s="6"/>
      <x:c r="K458" s="5" t="str">
        <x:v>Дополнительный файл требуется</x:v>
      </x:c>
      <x:c r="L458" s="5" t="str">
        <x:v>видео</x:v>
      </x:c>
      <x:c r="M458" s="7" t="str">
        <x:f>IF(J458="","",ROUND(J458*Tariffs!$D$5,2))</x:f>
      </x:c>
      <x:c r="N458" s="7" t="str">
        <x:f>IF(J458="","",ROUND(J458*Tariffs!$D$6,2))</x:f>
      </x:c>
      <x:c r="O458" s="7" t="str">
        <x:f>IF(J458="","",ROUND(J458*Tariffs!$D$7,2))</x:f>
      </x:c>
      <x:c r="P458" s="5" t="str">
        <x:v>https://neuromia.ru/app/video/wan</x:v>
      </x:c>
      <x:c r="Q458" s="8" t="n">
        <x:v>46282.375</x:v>
      </x:c>
      <x:c r="R458" s="5" t="str">
        <x:v>После видео цена выросла до 26,4 кр/с, но кнопка всё ещё требует изображение, поля изображения нет. Итог не подтверждён.</x:v>
      </x:c>
    </x:row>
    <x:row r="459" ht="22" customHeight="1">
      <x:c r="A459" s="5" t="str">
        <x:v>Видео</x:v>
      </x:c>
      <x:c r="B459" s="5" t="str">
        <x:v>Wan 2.7 Edit</x:v>
      </x:c>
      <x:c r="C459" s="5" t="str">
        <x:v>Видео → видео</x:v>
      </x:c>
      <x:c r="D459" s="5" t="str">
        <x:v>—</x:v>
      </x:c>
      <x:c r="E459" s="5" t="str">
        <x:v>—</x:v>
      </x:c>
      <x:c r="F459" s="5" t="n">
        <x:v>6</x:v>
      </x:c>
      <x:c r="G459" s="5" t="str">
        <x:v>—</x:v>
      </x:c>
      <x:c r="H459" s="5" t="str">
        <x:v>Синтетическое видео H.264 загружено</x:v>
      </x:c>
      <x:c r="I459" s="6" t="n">
        <x:v>158.4</x:v>
      </x:c>
      <x:c r="J459" s="6"/>
      <x:c r="K459" s="5" t="str">
        <x:v>Дополнительный файл требуется</x:v>
      </x:c>
      <x:c r="L459" s="5" t="str">
        <x:v>видео</x:v>
      </x:c>
      <x:c r="M459" s="7" t="str">
        <x:f>IF(J459="","",ROUND(J459*Tariffs!$D$5,2))</x:f>
      </x:c>
      <x:c r="N459" s="7" t="str">
        <x:f>IF(J459="","",ROUND(J459*Tariffs!$D$6,2))</x:f>
      </x:c>
      <x:c r="O459" s="7" t="str">
        <x:f>IF(J459="","",ROUND(J459*Tariffs!$D$7,2))</x:f>
      </x:c>
      <x:c r="P459" s="5" t="str">
        <x:v>https://neuromia.ru/app/video/wan</x:v>
      </x:c>
      <x:c r="Q459" s="8" t="n">
        <x:v>46282.375</x:v>
      </x:c>
      <x:c r="R459" s="5" t="str">
        <x:v>После видео цена выросла до 26,4 кр/с, но кнопка всё ещё требует изображение, поля изображения нет. Итог не подтверждён.</x:v>
      </x:c>
    </x:row>
    <x:row r="460" ht="22" customHeight="1">
      <x:c r="A460" s="5" t="str">
        <x:v>Видео</x:v>
      </x:c>
      <x:c r="B460" s="5" t="str">
        <x:v>Wan 2.7 Edit</x:v>
      </x:c>
      <x:c r="C460" s="5" t="str">
        <x:v>Видео → видео</x:v>
      </x:c>
      <x:c r="D460" s="5" t="str">
        <x:v>—</x:v>
      </x:c>
      <x:c r="E460" s="5" t="str">
        <x:v>—</x:v>
      </x:c>
      <x:c r="F460" s="5" t="n">
        <x:v>8</x:v>
      </x:c>
      <x:c r="G460" s="5" t="str">
        <x:v>—</x:v>
      </x:c>
      <x:c r="H460" s="5" t="str">
        <x:v>Синтетическое видео H.264 загружено</x:v>
      </x:c>
      <x:c r="I460" s="6" t="n">
        <x:v>211.2</x:v>
      </x:c>
      <x:c r="J460" s="6"/>
      <x:c r="K460" s="5" t="str">
        <x:v>Дополнительный файл требуется</x:v>
      </x:c>
      <x:c r="L460" s="5" t="str">
        <x:v>видео</x:v>
      </x:c>
      <x:c r="M460" s="7" t="str">
        <x:f>IF(J460="","",ROUND(J460*Tariffs!$D$5,2))</x:f>
      </x:c>
      <x:c r="N460" s="7" t="str">
        <x:f>IF(J460="","",ROUND(J460*Tariffs!$D$6,2))</x:f>
      </x:c>
      <x:c r="O460" s="7" t="str">
        <x:f>IF(J460="","",ROUND(J460*Tariffs!$D$7,2))</x:f>
      </x:c>
      <x:c r="P460" s="5" t="str">
        <x:v>https://neuromia.ru/app/video/wan</x:v>
      </x:c>
      <x:c r="Q460" s="8" t="n">
        <x:v>46282.375</x:v>
      </x:c>
      <x:c r="R460" s="5" t="str">
        <x:v>После видео цена выросла до 26,4 кр/с, но кнопка всё ещё требует изображение, поля изображения нет. Итог не подтверждён.</x:v>
      </x:c>
    </x:row>
    <x:row r="461" ht="22" customHeight="1">
      <x:c r="A461" s="5" t="str">
        <x:v>Видео</x:v>
      </x:c>
      <x:c r="B461" s="5" t="str">
        <x:v>Wan 2.7 Edit</x:v>
      </x:c>
      <x:c r="C461" s="5" t="str">
        <x:v>Видео → видео</x:v>
      </x:c>
      <x:c r="D461" s="5" t="str">
        <x:v>—</x:v>
      </x:c>
      <x:c r="E461" s="5" t="str">
        <x:v>—</x:v>
      </x:c>
      <x:c r="F461" s="5" t="n">
        <x:v>10</x:v>
      </x:c>
      <x:c r="G461" s="5" t="str">
        <x:v>—</x:v>
      </x:c>
      <x:c r="H461" s="5" t="str">
        <x:v>Синтетическое видео H.264 загружено</x:v>
      </x:c>
      <x:c r="I461" s="6" t="n">
        <x:v>264</x:v>
      </x:c>
      <x:c r="J461" s="6"/>
      <x:c r="K461" s="5" t="str">
        <x:v>Дополнительный файл требуется</x:v>
      </x:c>
      <x:c r="L461" s="5" t="str">
        <x:v>видео</x:v>
      </x:c>
      <x:c r="M461" s="7" t="str">
        <x:f>IF(J461="","",ROUND(J461*Tariffs!$D$5,2))</x:f>
      </x:c>
      <x:c r="N461" s="7" t="str">
        <x:f>IF(J461="","",ROUND(J461*Tariffs!$D$6,2))</x:f>
      </x:c>
      <x:c r="O461" s="7" t="str">
        <x:f>IF(J461="","",ROUND(J461*Tariffs!$D$7,2))</x:f>
      </x:c>
      <x:c r="P461" s="5" t="str">
        <x:v>https://neuromia.ru/app/video/wan</x:v>
      </x:c>
      <x:c r="Q461" s="8" t="n">
        <x:v>46282.375</x:v>
      </x:c>
      <x:c r="R461" s="5" t="str">
        <x:v>После видео цена выросла до 26,4 кр/с, но кнопка всё ещё требует изображение, поля изображения нет. Итог не подтверждён.</x:v>
      </x:c>
    </x:row>
    <x:row r="462" ht="22" customHeight="1">
      <x:c r="A462" s="5" t="str">
        <x:v>Видео</x:v>
      </x:c>
      <x:c r="B462" s="5" t="str">
        <x:v>Wan 2.7 R2V</x:v>
      </x:c>
      <x:c r="C462" s="5" t="str">
        <x:v>Референс → видео</x:v>
      </x:c>
      <x:c r="D462" s="5" t="str">
        <x:v>720p</x:v>
      </x:c>
      <x:c r="E462" s="5" t="str">
        <x:v>—</x:v>
      </x:c>
      <x:c r="F462" s="5" t="n">
        <x:v>2</x:v>
      </x:c>
      <x:c r="G462" s="5" t="str">
        <x:v>—</x:v>
      </x:c>
      <x:c r="H462" s="5" t="str">
        <x:v>Синтетическое тестовое фото и промпт</x:v>
      </x:c>
      <x:c r="I462" s="6" t="n">
        <x:v>35.2</x:v>
      </x:c>
      <x:c r="J462" s="6" t="n">
        <x:v>35.2</x:v>
      </x:c>
      <x:c r="K462" s="5" t="str">
        <x:v>Точная цена в редакторе</x:v>
      </x:c>
      <x:c r="L462" s="5" t="str">
        <x:v>видео</x:v>
      </x:c>
      <x:c r="M462" s="7" t="n">
        <x:f>IF(J462="","",ROUND(J462*Tariffs!$D$5,2))</x:f>
        <x:v>29.27</x:v>
      </x:c>
      <x:c r="N462" s="7" t="n">
        <x:f>IF(J462="","",ROUND(J462*Tariffs!$D$6,2))</x:f>
        <x:v>29.3</x:v>
      </x:c>
      <x:c r="O462" s="7" t="n">
        <x:f>IF(J462="","",ROUND(J462*Tariffs!$D$7,2))</x:f>
        <x:v>29.33</x:v>
      </x:c>
      <x:c r="P462" s="5" t="str">
        <x:v>https://neuromia.ru/app/video/wan</x:v>
      </x:c>
      <x:c r="Q462" s="8" t="n">
        <x:v>46282.375</x:v>
      </x:c>
      <x:c r="R462" s="5" t="str">
        <x:v>Каждая длительность 2–15 с повторно выбрана с фото-референсом.</x:v>
      </x:c>
    </x:row>
    <x:row r="463" ht="22" customHeight="1">
      <x:c r="A463" s="5" t="str">
        <x:v>Видео</x:v>
      </x:c>
      <x:c r="B463" s="5" t="str">
        <x:v>Wan 2.7 R2V</x:v>
      </x:c>
      <x:c r="C463" s="5" t="str">
        <x:v>Референс → видео</x:v>
      </x:c>
      <x:c r="D463" s="5" t="str">
        <x:v>720p</x:v>
      </x:c>
      <x:c r="E463" s="5" t="str">
        <x:v>—</x:v>
      </x:c>
      <x:c r="F463" s="5" t="n">
        <x:v>3</x:v>
      </x:c>
      <x:c r="G463" s="5" t="str">
        <x:v>—</x:v>
      </x:c>
      <x:c r="H463" s="5" t="str">
        <x:v>Синтетическое тестовое фото и промпт</x:v>
      </x:c>
      <x:c r="I463" s="6" t="n">
        <x:v>52.8</x:v>
      </x:c>
      <x:c r="J463" s="6" t="n">
        <x:v>52.8</x:v>
      </x:c>
      <x:c r="K463" s="5" t="str">
        <x:v>Точная цена в редакторе</x:v>
      </x:c>
      <x:c r="L463" s="5" t="str">
        <x:v>видео</x:v>
      </x:c>
      <x:c r="M463" s="7" t="n">
        <x:f>IF(J463="","",ROUND(J463*Tariffs!$D$5,2))</x:f>
        <x:v>43.91</x:v>
      </x:c>
      <x:c r="N463" s="7" t="n">
        <x:f>IF(J463="","",ROUND(J463*Tariffs!$D$6,2))</x:f>
        <x:v>43.96</x:v>
      </x:c>
      <x:c r="O463" s="7" t="n">
        <x:f>IF(J463="","",ROUND(J463*Tariffs!$D$7,2))</x:f>
        <x:v>43.99</x:v>
      </x:c>
      <x:c r="P463" s="5" t="str">
        <x:v>https://neuromia.ru/app/video/wan</x:v>
      </x:c>
      <x:c r="Q463" s="8" t="n">
        <x:v>46282.375</x:v>
      </x:c>
      <x:c r="R463" s="5" t="str">
        <x:v>Каждая длительность 2–15 с повторно выбрана с фото-референсом.</x:v>
      </x:c>
    </x:row>
    <x:row r="464" ht="22" customHeight="1">
      <x:c r="A464" s="5" t="str">
        <x:v>Видео</x:v>
      </x:c>
      <x:c r="B464" s="5" t="str">
        <x:v>Wan 2.7 R2V</x:v>
      </x:c>
      <x:c r="C464" s="5" t="str">
        <x:v>Референс → видео</x:v>
      </x:c>
      <x:c r="D464" s="5" t="str">
        <x:v>720p</x:v>
      </x:c>
      <x:c r="E464" s="5" t="str">
        <x:v>—</x:v>
      </x:c>
      <x:c r="F464" s="5" t="n">
        <x:v>4</x:v>
      </x:c>
      <x:c r="G464" s="5" t="str">
        <x:v>—</x:v>
      </x:c>
      <x:c r="H464" s="5" t="str">
        <x:v>Синтетическое тестовое фото и промпт</x:v>
      </x:c>
      <x:c r="I464" s="6" t="n">
        <x:v>70.4</x:v>
      </x:c>
      <x:c r="J464" s="6" t="n">
        <x:v>70.4</x:v>
      </x:c>
      <x:c r="K464" s="5" t="str">
        <x:v>Точная цена в редакторе</x:v>
      </x:c>
      <x:c r="L464" s="5" t="str">
        <x:v>видео</x:v>
      </x:c>
      <x:c r="M464" s="7" t="n">
        <x:f>IF(J464="","",ROUND(J464*Tariffs!$D$5,2))</x:f>
        <x:v>58.55</x:v>
      </x:c>
      <x:c r="N464" s="7" t="n">
        <x:f>IF(J464="","",ROUND(J464*Tariffs!$D$6,2))</x:f>
        <x:v>58.61</x:v>
      </x:c>
      <x:c r="O464" s="7" t="n">
        <x:f>IF(J464="","",ROUND(J464*Tariffs!$D$7,2))</x:f>
        <x:v>58.65</x:v>
      </x:c>
      <x:c r="P464" s="5" t="str">
        <x:v>https://neuromia.ru/app/video/wan</x:v>
      </x:c>
      <x:c r="Q464" s="8" t="n">
        <x:v>46282.375</x:v>
      </x:c>
      <x:c r="R464" s="5" t="str">
        <x:v>Каждая длительность 2–15 с повторно выбрана с фото-референсом.</x:v>
      </x:c>
    </x:row>
    <x:row r="465" ht="22" customHeight="1">
      <x:c r="A465" s="5" t="str">
        <x:v>Видео</x:v>
      </x:c>
      <x:c r="B465" s="5" t="str">
        <x:v>Wan 2.7 R2V</x:v>
      </x:c>
      <x:c r="C465" s="5" t="str">
        <x:v>Референс → видео</x:v>
      </x:c>
      <x:c r="D465" s="5" t="str">
        <x:v>720p</x:v>
      </x:c>
      <x:c r="E465" s="5" t="str">
        <x:v>—</x:v>
      </x:c>
      <x:c r="F465" s="5" t="n">
        <x:v>5</x:v>
      </x:c>
      <x:c r="G465" s="5" t="str">
        <x:v>—</x:v>
      </x:c>
      <x:c r="H465" s="5" t="str">
        <x:v>Синтетическое тестовое фото и промпт</x:v>
      </x:c>
      <x:c r="I465" s="6" t="n">
        <x:v>88</x:v>
      </x:c>
      <x:c r="J465" s="6" t="n">
        <x:v>88</x:v>
      </x:c>
      <x:c r="K465" s="5" t="str">
        <x:v>Точная цена в редакторе</x:v>
      </x:c>
      <x:c r="L465" s="5" t="str">
        <x:v>видео</x:v>
      </x:c>
      <x:c r="M465" s="7" t="n">
        <x:f>IF(J465="","",ROUND(J465*Tariffs!$D$5,2))</x:f>
        <x:v>73.19</x:v>
      </x:c>
      <x:c r="N465" s="7" t="n">
        <x:f>IF(J465="","",ROUND(J465*Tariffs!$D$6,2))</x:f>
        <x:v>73.26</x:v>
      </x:c>
      <x:c r="O465" s="7" t="n">
        <x:f>IF(J465="","",ROUND(J465*Tariffs!$D$7,2))</x:f>
        <x:v>73.32</x:v>
      </x:c>
      <x:c r="P465" s="5" t="str">
        <x:v>https://neuromia.ru/app/video/wan</x:v>
      </x:c>
      <x:c r="Q465" s="8" t="n">
        <x:v>46282.375</x:v>
      </x:c>
      <x:c r="R465" s="5" t="str">
        <x:v>Каждая длительность 2–15 с повторно выбрана с фото-референсом.</x:v>
      </x:c>
    </x:row>
    <x:row r="466" ht="22" customHeight="1">
      <x:c r="A466" s="5" t="str">
        <x:v>Видео</x:v>
      </x:c>
      <x:c r="B466" s="5" t="str">
        <x:v>Wan 2.7 R2V</x:v>
      </x:c>
      <x:c r="C466" s="5" t="str">
        <x:v>Референс → видео</x:v>
      </x:c>
      <x:c r="D466" s="5" t="str">
        <x:v>720p</x:v>
      </x:c>
      <x:c r="E466" s="5" t="str">
        <x:v>—</x:v>
      </x:c>
      <x:c r="F466" s="5" t="n">
        <x:v>6</x:v>
      </x:c>
      <x:c r="G466" s="5" t="str">
        <x:v>—</x:v>
      </x:c>
      <x:c r="H466" s="5" t="str">
        <x:v>Синтетическое тестовое фото и промпт</x:v>
      </x:c>
      <x:c r="I466" s="6" t="n">
        <x:v>105.6</x:v>
      </x:c>
      <x:c r="J466" s="6" t="n">
        <x:v>105.6</x:v>
      </x:c>
      <x:c r="K466" s="5" t="str">
        <x:v>Точная цена в редакторе</x:v>
      </x:c>
      <x:c r="L466" s="5" t="str">
        <x:v>видео</x:v>
      </x:c>
      <x:c r="M466" s="7" t="n">
        <x:f>IF(J466="","",ROUND(J466*Tariffs!$D$5,2))</x:f>
        <x:v>87.82</x:v>
      </x:c>
      <x:c r="N466" s="7" t="n">
        <x:f>IF(J466="","",ROUND(J466*Tariffs!$D$6,2))</x:f>
        <x:v>87.91</x:v>
      </x:c>
      <x:c r="O466" s="7" t="n">
        <x:f>IF(J466="","",ROUND(J466*Tariffs!$D$7,2))</x:f>
        <x:v>87.98</x:v>
      </x:c>
      <x:c r="P466" s="5" t="str">
        <x:v>https://neuromia.ru/app/video/wan</x:v>
      </x:c>
      <x:c r="Q466" s="8" t="n">
        <x:v>46282.375</x:v>
      </x:c>
      <x:c r="R466" s="5" t="str">
        <x:v>Каждая длительность 2–15 с повторно выбрана с фото-референсом.</x:v>
      </x:c>
    </x:row>
    <x:row r="467" ht="22" customHeight="1">
      <x:c r="A467" s="5" t="str">
        <x:v>Видео</x:v>
      </x:c>
      <x:c r="B467" s="5" t="str">
        <x:v>Wan 2.7 R2V</x:v>
      </x:c>
      <x:c r="C467" s="5" t="str">
        <x:v>Референс → видео</x:v>
      </x:c>
      <x:c r="D467" s="5" t="str">
        <x:v>720p</x:v>
      </x:c>
      <x:c r="E467" s="5" t="str">
        <x:v>—</x:v>
      </x:c>
      <x:c r="F467" s="5" t="n">
        <x:v>7</x:v>
      </x:c>
      <x:c r="G467" s="5" t="str">
        <x:v>—</x:v>
      </x:c>
      <x:c r="H467" s="5" t="str">
        <x:v>Синтетическое тестовое фото и промпт</x:v>
      </x:c>
      <x:c r="I467" s="6" t="n">
        <x:v>123.2</x:v>
      </x:c>
      <x:c r="J467" s="6" t="n">
        <x:v>123.2</x:v>
      </x:c>
      <x:c r="K467" s="5" t="str">
        <x:v>Точная цена в редакторе</x:v>
      </x:c>
      <x:c r="L467" s="5" t="str">
        <x:v>видео</x:v>
      </x:c>
      <x:c r="M467" s="7" t="n">
        <x:f>IF(J467="","",ROUND(J467*Tariffs!$D$5,2))</x:f>
        <x:v>102.46</x:v>
      </x:c>
      <x:c r="N467" s="7" t="n">
        <x:f>IF(J467="","",ROUND(J467*Tariffs!$D$6,2))</x:f>
        <x:v>102.56</x:v>
      </x:c>
      <x:c r="O467" s="7" t="n">
        <x:f>IF(J467="","",ROUND(J467*Tariffs!$D$7,2))</x:f>
        <x:v>102.65</x:v>
      </x:c>
      <x:c r="P467" s="5" t="str">
        <x:v>https://neuromia.ru/app/video/wan</x:v>
      </x:c>
      <x:c r="Q467" s="8" t="n">
        <x:v>46282.375</x:v>
      </x:c>
      <x:c r="R467" s="5" t="str">
        <x:v>Каждая длительность 2–15 с повторно выбрана с фото-референсом.</x:v>
      </x:c>
    </x:row>
    <x:row r="468" ht="22" customHeight="1">
      <x:c r="A468" s="5" t="str">
        <x:v>Видео</x:v>
      </x:c>
      <x:c r="B468" s="5" t="str">
        <x:v>Wan 2.7 R2V</x:v>
      </x:c>
      <x:c r="C468" s="5" t="str">
        <x:v>Референс → видео</x:v>
      </x:c>
      <x:c r="D468" s="5" t="str">
        <x:v>720p</x:v>
      </x:c>
      <x:c r="E468" s="5" t="str">
        <x:v>—</x:v>
      </x:c>
      <x:c r="F468" s="5" t="n">
        <x:v>8</x:v>
      </x:c>
      <x:c r="G468" s="5" t="str">
        <x:v>—</x:v>
      </x:c>
      <x:c r="H468" s="5" t="str">
        <x:v>Синтетическое тестовое фото и промпт</x:v>
      </x:c>
      <x:c r="I468" s="6" t="n">
        <x:v>140.8</x:v>
      </x:c>
      <x:c r="J468" s="6" t="n">
        <x:v>140.8</x:v>
      </x:c>
      <x:c r="K468" s="5" t="str">
        <x:v>Точная цена в редакторе</x:v>
      </x:c>
      <x:c r="L468" s="5" t="str">
        <x:v>видео</x:v>
      </x:c>
      <x:c r="M468" s="7" t="n">
        <x:f>IF(J468="","",ROUND(J468*Tariffs!$D$5,2))</x:f>
        <x:v>117.1</x:v>
      </x:c>
      <x:c r="N468" s="7" t="n">
        <x:f>IF(J468="","",ROUND(J468*Tariffs!$D$6,2))</x:f>
        <x:v>117.22</x:v>
      </x:c>
      <x:c r="O468" s="7" t="n">
        <x:f>IF(J468="","",ROUND(J468*Tariffs!$D$7,2))</x:f>
        <x:v>117.31</x:v>
      </x:c>
      <x:c r="P468" s="5" t="str">
        <x:v>https://neuromia.ru/app/video/wan</x:v>
      </x:c>
      <x:c r="Q468" s="8" t="n">
        <x:v>46282.375</x:v>
      </x:c>
      <x:c r="R468" s="5" t="str">
        <x:v>Каждая длительность 2–15 с повторно выбрана с фото-референсом.</x:v>
      </x:c>
    </x:row>
    <x:row r="469" ht="22" customHeight="1">
      <x:c r="A469" s="5" t="str">
        <x:v>Видео</x:v>
      </x:c>
      <x:c r="B469" s="5" t="str">
        <x:v>Wan 2.7 R2V</x:v>
      </x:c>
      <x:c r="C469" s="5" t="str">
        <x:v>Референс → видео</x:v>
      </x:c>
      <x:c r="D469" s="5" t="str">
        <x:v>720p</x:v>
      </x:c>
      <x:c r="E469" s="5" t="str">
        <x:v>—</x:v>
      </x:c>
      <x:c r="F469" s="5" t="n">
        <x:v>9</x:v>
      </x:c>
      <x:c r="G469" s="5" t="str">
        <x:v>—</x:v>
      </x:c>
      <x:c r="H469" s="5" t="str">
        <x:v>Синтетическое тестовое фото и промпт</x:v>
      </x:c>
      <x:c r="I469" s="6" t="n">
        <x:v>158.4</x:v>
      </x:c>
      <x:c r="J469" s="6" t="n">
        <x:v>158.4</x:v>
      </x:c>
      <x:c r="K469" s="5" t="str">
        <x:v>Точная цена в редакторе</x:v>
      </x:c>
      <x:c r="L469" s="5" t="str">
        <x:v>видео</x:v>
      </x:c>
      <x:c r="M469" s="7" t="n">
        <x:f>IF(J469="","",ROUND(J469*Tariffs!$D$5,2))</x:f>
        <x:v>131.74</x:v>
      </x:c>
      <x:c r="N469" s="7" t="n">
        <x:f>IF(J469="","",ROUND(J469*Tariffs!$D$6,2))</x:f>
        <x:v>131.87</x:v>
      </x:c>
      <x:c r="O469" s="7" t="n">
        <x:f>IF(J469="","",ROUND(J469*Tariffs!$D$7,2))</x:f>
        <x:v>131.97</x:v>
      </x:c>
      <x:c r="P469" s="5" t="str">
        <x:v>https://neuromia.ru/app/video/wan</x:v>
      </x:c>
      <x:c r="Q469" s="8" t="n">
        <x:v>46282.375</x:v>
      </x:c>
      <x:c r="R469" s="5" t="str">
        <x:v>Каждая длительность 2–15 с повторно выбрана с фото-референсом.</x:v>
      </x:c>
    </x:row>
    <x:row r="470" ht="22" customHeight="1">
      <x:c r="A470" s="5" t="str">
        <x:v>Видео</x:v>
      </x:c>
      <x:c r="B470" s="5" t="str">
        <x:v>Wan 2.7 R2V</x:v>
      </x:c>
      <x:c r="C470" s="5" t="str">
        <x:v>Референс → видео</x:v>
      </x:c>
      <x:c r="D470" s="5" t="str">
        <x:v>720p</x:v>
      </x:c>
      <x:c r="E470" s="5" t="str">
        <x:v>—</x:v>
      </x:c>
      <x:c r="F470" s="5" t="n">
        <x:v>10</x:v>
      </x:c>
      <x:c r="G470" s="5" t="str">
        <x:v>—</x:v>
      </x:c>
      <x:c r="H470" s="5" t="str">
        <x:v>Синтетическое тестовое фото и промпт</x:v>
      </x:c>
      <x:c r="I470" s="6" t="n">
        <x:v>176</x:v>
      </x:c>
      <x:c r="J470" s="6" t="n">
        <x:v>176</x:v>
      </x:c>
      <x:c r="K470" s="5" t="str">
        <x:v>Точная цена в редакторе</x:v>
      </x:c>
      <x:c r="L470" s="5" t="str">
        <x:v>видео</x:v>
      </x:c>
      <x:c r="M470" s="7" t="n">
        <x:f>IF(J470="","",ROUND(J470*Tariffs!$D$5,2))</x:f>
        <x:v>146.37</x:v>
      </x:c>
      <x:c r="N470" s="7" t="n">
        <x:f>IF(J470="","",ROUND(J470*Tariffs!$D$6,2))</x:f>
        <x:v>146.52</x:v>
      </x:c>
      <x:c r="O470" s="7" t="n">
        <x:f>IF(J470="","",ROUND(J470*Tariffs!$D$7,2))</x:f>
        <x:v>146.64</x:v>
      </x:c>
      <x:c r="P470" s="5" t="str">
        <x:v>https://neuromia.ru/app/video/wan</x:v>
      </x:c>
      <x:c r="Q470" s="8" t="n">
        <x:v>46282.375</x:v>
      </x:c>
      <x:c r="R470" s="5" t="str">
        <x:v>Каждая длительность 2–15 с повторно выбрана с фото-референсом.</x:v>
      </x:c>
    </x:row>
    <x:row r="471" ht="22" customHeight="1">
      <x:c r="A471" s="5" t="str">
        <x:v>Видео</x:v>
      </x:c>
      <x:c r="B471" s="5" t="str">
        <x:v>Wan 2.7 R2V</x:v>
      </x:c>
      <x:c r="C471" s="5" t="str">
        <x:v>Референс → видео</x:v>
      </x:c>
      <x:c r="D471" s="5" t="str">
        <x:v>720p</x:v>
      </x:c>
      <x:c r="E471" s="5" t="str">
        <x:v>—</x:v>
      </x:c>
      <x:c r="F471" s="5" t="n">
        <x:v>11</x:v>
      </x:c>
      <x:c r="G471" s="5" t="str">
        <x:v>—</x:v>
      </x:c>
      <x:c r="H471" s="5" t="str">
        <x:v>Синтетическое тестовое фото и промпт</x:v>
      </x:c>
      <x:c r="I471" s="6" t="n">
        <x:v>193.6</x:v>
      </x:c>
      <x:c r="J471" s="6" t="n">
        <x:v>193.6</x:v>
      </x:c>
      <x:c r="K471" s="5" t="str">
        <x:v>Точная цена в редакторе</x:v>
      </x:c>
      <x:c r="L471" s="5" t="str">
        <x:v>видео</x:v>
      </x:c>
      <x:c r="M471" s="7" t="n">
        <x:f>IF(J471="","",ROUND(J471*Tariffs!$D$5,2))</x:f>
        <x:v>161.01</x:v>
      </x:c>
      <x:c r="N471" s="7" t="n">
        <x:f>IF(J471="","",ROUND(J471*Tariffs!$D$6,2))</x:f>
        <x:v>161.17</x:v>
      </x:c>
      <x:c r="O471" s="7" t="n">
        <x:f>IF(J471="","",ROUND(J471*Tariffs!$D$7,2))</x:f>
        <x:v>161.3</x:v>
      </x:c>
      <x:c r="P471" s="5" t="str">
        <x:v>https://neuromia.ru/app/video/wan</x:v>
      </x:c>
      <x:c r="Q471" s="8" t="n">
        <x:v>46282.375</x:v>
      </x:c>
      <x:c r="R471" s="5" t="str">
        <x:v>Каждая длительность 2–15 с повторно выбрана с фото-референсом.</x:v>
      </x:c>
    </x:row>
    <x:row r="472" ht="22" customHeight="1">
      <x:c r="A472" s="5" t="str">
        <x:v>Видео</x:v>
      </x:c>
      <x:c r="B472" s="5" t="str">
        <x:v>Wan 2.7 R2V</x:v>
      </x:c>
      <x:c r="C472" s="5" t="str">
        <x:v>Референс → видео</x:v>
      </x:c>
      <x:c r="D472" s="5" t="str">
        <x:v>720p</x:v>
      </x:c>
      <x:c r="E472" s="5" t="str">
        <x:v>—</x:v>
      </x:c>
      <x:c r="F472" s="5" t="n">
        <x:v>12</x:v>
      </x:c>
      <x:c r="G472" s="5" t="str">
        <x:v>—</x:v>
      </x:c>
      <x:c r="H472" s="5" t="str">
        <x:v>Синтетическое тестовое фото и промпт</x:v>
      </x:c>
      <x:c r="I472" s="6" t="n">
        <x:v>211.2</x:v>
      </x:c>
      <x:c r="J472" s="6" t="n">
        <x:v>211.2</x:v>
      </x:c>
      <x:c r="K472" s="5" t="str">
        <x:v>Точная цена в редакторе</x:v>
      </x:c>
      <x:c r="L472" s="5" t="str">
        <x:v>видео</x:v>
      </x:c>
      <x:c r="M472" s="7" t="n">
        <x:f>IF(J472="","",ROUND(J472*Tariffs!$D$5,2))</x:f>
        <x:v>175.65</x:v>
      </x:c>
      <x:c r="N472" s="7" t="n">
        <x:f>IF(J472="","",ROUND(J472*Tariffs!$D$6,2))</x:f>
        <x:v>175.82</x:v>
      </x:c>
      <x:c r="O472" s="7" t="n">
        <x:f>IF(J472="","",ROUND(J472*Tariffs!$D$7,2))</x:f>
        <x:v>175.96</x:v>
      </x:c>
      <x:c r="P472" s="5" t="str">
        <x:v>https://neuromia.ru/app/video/wan</x:v>
      </x:c>
      <x:c r="Q472" s="8" t="n">
        <x:v>46282.375</x:v>
      </x:c>
      <x:c r="R472" s="5" t="str">
        <x:v>Каждая длительность 2–15 с повторно выбрана с фото-референсом.</x:v>
      </x:c>
    </x:row>
    <x:row r="473" ht="22" customHeight="1">
      <x:c r="A473" s="5" t="str">
        <x:v>Видео</x:v>
      </x:c>
      <x:c r="B473" s="5" t="str">
        <x:v>Wan 2.7 R2V</x:v>
      </x:c>
      <x:c r="C473" s="5" t="str">
        <x:v>Референс → видео</x:v>
      </x:c>
      <x:c r="D473" s="5" t="str">
        <x:v>720p</x:v>
      </x:c>
      <x:c r="E473" s="5" t="str">
        <x:v>—</x:v>
      </x:c>
      <x:c r="F473" s="5" t="n">
        <x:v>13</x:v>
      </x:c>
      <x:c r="G473" s="5" t="str">
        <x:v>—</x:v>
      </x:c>
      <x:c r="H473" s="5" t="str">
        <x:v>Синтетическое тестовое фото и промпт</x:v>
      </x:c>
      <x:c r="I473" s="6" t="n">
        <x:v>228.8</x:v>
      </x:c>
      <x:c r="J473" s="6" t="n">
        <x:v>228.8</x:v>
      </x:c>
      <x:c r="K473" s="5" t="str">
        <x:v>Точная цена в редакторе</x:v>
      </x:c>
      <x:c r="L473" s="5" t="str">
        <x:v>видео</x:v>
      </x:c>
      <x:c r="M473" s="7" t="n">
        <x:f>IF(J473="","",ROUND(J473*Tariffs!$D$5,2))</x:f>
        <x:v>190.29</x:v>
      </x:c>
      <x:c r="N473" s="7" t="n">
        <x:f>IF(J473="","",ROUND(J473*Tariffs!$D$6,2))</x:f>
        <x:v>190.48</x:v>
      </x:c>
      <x:c r="O473" s="7" t="n">
        <x:f>IF(J473="","",ROUND(J473*Tariffs!$D$7,2))</x:f>
        <x:v>190.63</x:v>
      </x:c>
      <x:c r="P473" s="5" t="str">
        <x:v>https://neuromia.ru/app/video/wan</x:v>
      </x:c>
      <x:c r="Q473" s="8" t="n">
        <x:v>46282.375</x:v>
      </x:c>
      <x:c r="R473" s="5" t="str">
        <x:v>Каждая длительность 2–15 с повторно выбрана с фото-референсом.</x:v>
      </x:c>
    </x:row>
    <x:row r="474" ht="22" customHeight="1">
      <x:c r="A474" s="5" t="str">
        <x:v>Видео</x:v>
      </x:c>
      <x:c r="B474" s="5" t="str">
        <x:v>Wan 2.7 R2V</x:v>
      </x:c>
      <x:c r="C474" s="5" t="str">
        <x:v>Референс → видео</x:v>
      </x:c>
      <x:c r="D474" s="5" t="str">
        <x:v>720p</x:v>
      </x:c>
      <x:c r="E474" s="5" t="str">
        <x:v>—</x:v>
      </x:c>
      <x:c r="F474" s="5" t="n">
        <x:v>14</x:v>
      </x:c>
      <x:c r="G474" s="5" t="str">
        <x:v>—</x:v>
      </x:c>
      <x:c r="H474" s="5" t="str">
        <x:v>Синтетическое тестовое фото и промпт</x:v>
      </x:c>
      <x:c r="I474" s="6" t="n">
        <x:v>246.4</x:v>
      </x:c>
      <x:c r="J474" s="6" t="n">
        <x:v>246.4</x:v>
      </x:c>
      <x:c r="K474" s="5" t="str">
        <x:v>Точная цена в редакторе</x:v>
      </x:c>
      <x:c r="L474" s="5" t="str">
        <x:v>видео</x:v>
      </x:c>
      <x:c r="M474" s="7" t="n">
        <x:f>IF(J474="","",ROUND(J474*Tariffs!$D$5,2))</x:f>
        <x:v>204.92</x:v>
      </x:c>
      <x:c r="N474" s="7" t="n">
        <x:f>IF(J474="","",ROUND(J474*Tariffs!$D$6,2))</x:f>
        <x:v>205.13</x:v>
      </x:c>
      <x:c r="O474" s="7" t="n">
        <x:f>IF(J474="","",ROUND(J474*Tariffs!$D$7,2))</x:f>
        <x:v>205.29</x:v>
      </x:c>
      <x:c r="P474" s="5" t="str">
        <x:v>https://neuromia.ru/app/video/wan</x:v>
      </x:c>
      <x:c r="Q474" s="8" t="n">
        <x:v>46282.375</x:v>
      </x:c>
      <x:c r="R474" s="5" t="str">
        <x:v>Каждая длительность 2–15 с повторно выбрана с фото-референсом.</x:v>
      </x:c>
    </x:row>
    <x:row r="475" ht="22" customHeight="1">
      <x:c r="A475" s="5" t="str">
        <x:v>Видео</x:v>
      </x:c>
      <x:c r="B475" s="5" t="str">
        <x:v>Wan 2.7 R2V</x:v>
      </x:c>
      <x:c r="C475" s="5" t="str">
        <x:v>Референс → видео</x:v>
      </x:c>
      <x:c r="D475" s="5" t="str">
        <x:v>720p</x:v>
      </x:c>
      <x:c r="E475" s="5" t="str">
        <x:v>—</x:v>
      </x:c>
      <x:c r="F475" s="5" t="n">
        <x:v>15</x:v>
      </x:c>
      <x:c r="G475" s="5" t="str">
        <x:v>—</x:v>
      </x:c>
      <x:c r="H475" s="5" t="str">
        <x:v>Синтетическое тестовое фото и промпт</x:v>
      </x:c>
      <x:c r="I475" s="6" t="n">
        <x:v>264</x:v>
      </x:c>
      <x:c r="J475" s="6" t="n">
        <x:v>264</x:v>
      </x:c>
      <x:c r="K475" s="5" t="str">
        <x:v>Точная цена в редакторе</x:v>
      </x:c>
      <x:c r="L475" s="5" t="str">
        <x:v>видео</x:v>
      </x:c>
      <x:c r="M475" s="7" t="n">
        <x:f>IF(J475="","",ROUND(J475*Tariffs!$D$5,2))</x:f>
        <x:v>219.56</x:v>
      </x:c>
      <x:c r="N475" s="7" t="n">
        <x:f>IF(J475="","",ROUND(J475*Tariffs!$D$6,2))</x:f>
        <x:v>219.78</x:v>
      </x:c>
      <x:c r="O475" s="7" t="n">
        <x:f>IF(J475="","",ROUND(J475*Tariffs!$D$7,2))</x:f>
        <x:v>219.96</x:v>
      </x:c>
      <x:c r="P475" s="5" t="str">
        <x:v>https://neuromia.ru/app/video/wan</x:v>
      </x:c>
      <x:c r="Q475" s="8" t="n">
        <x:v>46282.375</x:v>
      </x:c>
      <x:c r="R475" s="5" t="str">
        <x:v>Каждая длительность 2–15 с повторно выбрана с фото-референсом.</x:v>
      </x:c>
    </x:row>
    <x:row r="476" ht="22" customHeight="1">
      <x:c r="A476" s="5" t="str">
        <x:v>Видео</x:v>
      </x:c>
      <x:c r="B476" s="5" t="str">
        <x:v>Wan 2.7 R2V</x:v>
      </x:c>
      <x:c r="C476" s="5" t="str">
        <x:v>Референс → видео</x:v>
      </x:c>
      <x:c r="D476" s="5" t="str">
        <x:v>1080p</x:v>
      </x:c>
      <x:c r="E476" s="5" t="str">
        <x:v>—</x:v>
      </x:c>
      <x:c r="F476" s="5" t="n">
        <x:v>2</x:v>
      </x:c>
      <x:c r="G476" s="5" t="str">
        <x:v>—</x:v>
      </x:c>
      <x:c r="H476" s="5" t="str">
        <x:v>Синтетическое тестовое фото и промпт</x:v>
      </x:c>
      <x:c r="I476" s="6" t="n">
        <x:v>52.8</x:v>
      </x:c>
      <x:c r="J476" s="6" t="n">
        <x:v>52.8</x:v>
      </x:c>
      <x:c r="K476" s="5" t="str">
        <x:v>Точная цена в редакторе</x:v>
      </x:c>
      <x:c r="L476" s="5" t="str">
        <x:v>видео</x:v>
      </x:c>
      <x:c r="M476" s="7" t="n">
        <x:f>IF(J476="","",ROUND(J476*Tariffs!$D$5,2))</x:f>
        <x:v>43.91</x:v>
      </x:c>
      <x:c r="N476" s="7" t="n">
        <x:f>IF(J476="","",ROUND(J476*Tariffs!$D$6,2))</x:f>
        <x:v>43.96</x:v>
      </x:c>
      <x:c r="O476" s="7" t="n">
        <x:f>IF(J476="","",ROUND(J476*Tariffs!$D$7,2))</x:f>
        <x:v>43.99</x:v>
      </x:c>
      <x:c r="P476" s="5" t="str">
        <x:v>https://neuromia.ru/app/video/wan</x:v>
      </x:c>
      <x:c r="Q476" s="8" t="n">
        <x:v>46282.375</x:v>
      </x:c>
      <x:c r="R476" s="5" t="str">
        <x:v>Каждая длительность 2–15 с повторно выбрана с фото-референсом.</x:v>
      </x:c>
    </x:row>
    <x:row r="477" ht="22" customHeight="1">
      <x:c r="A477" s="5" t="str">
        <x:v>Видео</x:v>
      </x:c>
      <x:c r="B477" s="5" t="str">
        <x:v>Wan 2.7 R2V</x:v>
      </x:c>
      <x:c r="C477" s="5" t="str">
        <x:v>Референс → видео</x:v>
      </x:c>
      <x:c r="D477" s="5" t="str">
        <x:v>1080p</x:v>
      </x:c>
      <x:c r="E477" s="5" t="str">
        <x:v>—</x:v>
      </x:c>
      <x:c r="F477" s="5" t="n">
        <x:v>3</x:v>
      </x:c>
      <x:c r="G477" s="5" t="str">
        <x:v>—</x:v>
      </x:c>
      <x:c r="H477" s="5" t="str">
        <x:v>Синтетическое тестовое фото и промпт</x:v>
      </x:c>
      <x:c r="I477" s="6" t="n">
        <x:v>79.2</x:v>
      </x:c>
      <x:c r="J477" s="6" t="n">
        <x:v>79.2</x:v>
      </x:c>
      <x:c r="K477" s="5" t="str">
        <x:v>Точная цена в редакторе</x:v>
      </x:c>
      <x:c r="L477" s="5" t="str">
        <x:v>видео</x:v>
      </x:c>
      <x:c r="M477" s="7" t="n">
        <x:f>IF(J477="","",ROUND(J477*Tariffs!$D$5,2))</x:f>
        <x:v>65.87</x:v>
      </x:c>
      <x:c r="N477" s="7" t="n">
        <x:f>IF(J477="","",ROUND(J477*Tariffs!$D$6,2))</x:f>
        <x:v>65.93</x:v>
      </x:c>
      <x:c r="O477" s="7" t="n">
        <x:f>IF(J477="","",ROUND(J477*Tariffs!$D$7,2))</x:f>
        <x:v>65.99</x:v>
      </x:c>
      <x:c r="P477" s="5" t="str">
        <x:v>https://neuromia.ru/app/video/wan</x:v>
      </x:c>
      <x:c r="Q477" s="8" t="n">
        <x:v>46282.375</x:v>
      </x:c>
      <x:c r="R477" s="5" t="str">
        <x:v>Каждая длительность 2–15 с повторно выбрана с фото-референсом.</x:v>
      </x:c>
    </x:row>
    <x:row r="478" ht="22" customHeight="1">
      <x:c r="A478" s="5" t="str">
        <x:v>Видео</x:v>
      </x:c>
      <x:c r="B478" s="5" t="str">
        <x:v>Wan 2.7 R2V</x:v>
      </x:c>
      <x:c r="C478" s="5" t="str">
        <x:v>Референс → видео</x:v>
      </x:c>
      <x:c r="D478" s="5" t="str">
        <x:v>1080p</x:v>
      </x:c>
      <x:c r="E478" s="5" t="str">
        <x:v>—</x:v>
      </x:c>
      <x:c r="F478" s="5" t="n">
        <x:v>4</x:v>
      </x:c>
      <x:c r="G478" s="5" t="str">
        <x:v>—</x:v>
      </x:c>
      <x:c r="H478" s="5" t="str">
        <x:v>Синтетическое тестовое фото и промпт</x:v>
      </x:c>
      <x:c r="I478" s="6" t="n">
        <x:v>105.6</x:v>
      </x:c>
      <x:c r="J478" s="6" t="n">
        <x:v>105.6</x:v>
      </x:c>
      <x:c r="K478" s="5" t="str">
        <x:v>Точная цена в редакторе</x:v>
      </x:c>
      <x:c r="L478" s="5" t="str">
        <x:v>видео</x:v>
      </x:c>
      <x:c r="M478" s="7" t="n">
        <x:f>IF(J478="","",ROUND(J478*Tariffs!$D$5,2))</x:f>
        <x:v>87.82</x:v>
      </x:c>
      <x:c r="N478" s="7" t="n">
        <x:f>IF(J478="","",ROUND(J478*Tariffs!$D$6,2))</x:f>
        <x:v>87.91</x:v>
      </x:c>
      <x:c r="O478" s="7" t="n">
        <x:f>IF(J478="","",ROUND(J478*Tariffs!$D$7,2))</x:f>
        <x:v>87.98</x:v>
      </x:c>
      <x:c r="P478" s="5" t="str">
        <x:v>https://neuromia.ru/app/video/wan</x:v>
      </x:c>
      <x:c r="Q478" s="8" t="n">
        <x:v>46282.375</x:v>
      </x:c>
      <x:c r="R478" s="5" t="str">
        <x:v>Каждая длительность 2–15 с повторно выбрана с фото-референсом.</x:v>
      </x:c>
    </x:row>
    <x:row r="479" ht="22" customHeight="1">
      <x:c r="A479" s="5" t="str">
        <x:v>Видео</x:v>
      </x:c>
      <x:c r="B479" s="5" t="str">
        <x:v>Wan 2.7 R2V</x:v>
      </x:c>
      <x:c r="C479" s="5" t="str">
        <x:v>Референс → видео</x:v>
      </x:c>
      <x:c r="D479" s="5" t="str">
        <x:v>1080p</x:v>
      </x:c>
      <x:c r="E479" s="5" t="str">
        <x:v>—</x:v>
      </x:c>
      <x:c r="F479" s="5" t="n">
        <x:v>5</x:v>
      </x:c>
      <x:c r="G479" s="5" t="str">
        <x:v>—</x:v>
      </x:c>
      <x:c r="H479" s="5" t="str">
        <x:v>Синтетическое тестовое фото и промпт</x:v>
      </x:c>
      <x:c r="I479" s="6" t="n">
        <x:v>132</x:v>
      </x:c>
      <x:c r="J479" s="6" t="n">
        <x:v>132</x:v>
      </x:c>
      <x:c r="K479" s="5" t="str">
        <x:v>Точная цена в редакторе</x:v>
      </x:c>
      <x:c r="L479" s="5" t="str">
        <x:v>видео</x:v>
      </x:c>
      <x:c r="M479" s="7" t="n">
        <x:f>IF(J479="","",ROUND(J479*Tariffs!$D$5,2))</x:f>
        <x:v>109.78</x:v>
      </x:c>
      <x:c r="N479" s="7" t="n">
        <x:f>IF(J479="","",ROUND(J479*Tariffs!$D$6,2))</x:f>
        <x:v>109.89</x:v>
      </x:c>
      <x:c r="O479" s="7" t="n">
        <x:f>IF(J479="","",ROUND(J479*Tariffs!$D$7,2))</x:f>
        <x:v>109.98</x:v>
      </x:c>
      <x:c r="P479" s="5" t="str">
        <x:v>https://neuromia.ru/app/video/wan</x:v>
      </x:c>
      <x:c r="Q479" s="8" t="n">
        <x:v>46282.375</x:v>
      </x:c>
      <x:c r="R479" s="5" t="str">
        <x:v>Каждая длительность 2–15 с повторно выбрана с фото-референсом.</x:v>
      </x:c>
    </x:row>
    <x:row r="480" ht="22" customHeight="1">
      <x:c r="A480" s="5" t="str">
        <x:v>Видео</x:v>
      </x:c>
      <x:c r="B480" s="5" t="str">
        <x:v>Wan 2.7 R2V</x:v>
      </x:c>
      <x:c r="C480" s="5" t="str">
        <x:v>Референс → видео</x:v>
      </x:c>
      <x:c r="D480" s="5" t="str">
        <x:v>1080p</x:v>
      </x:c>
      <x:c r="E480" s="5" t="str">
        <x:v>—</x:v>
      </x:c>
      <x:c r="F480" s="5" t="n">
        <x:v>6</x:v>
      </x:c>
      <x:c r="G480" s="5" t="str">
        <x:v>—</x:v>
      </x:c>
      <x:c r="H480" s="5" t="str">
        <x:v>Синтетическое тестовое фото и промпт</x:v>
      </x:c>
      <x:c r="I480" s="6" t="n">
        <x:v>158.4</x:v>
      </x:c>
      <x:c r="J480" s="6" t="n">
        <x:v>158.4</x:v>
      </x:c>
      <x:c r="K480" s="5" t="str">
        <x:v>Точная цена в редакторе</x:v>
      </x:c>
      <x:c r="L480" s="5" t="str">
        <x:v>видео</x:v>
      </x:c>
      <x:c r="M480" s="7" t="n">
        <x:f>IF(J480="","",ROUND(J480*Tariffs!$D$5,2))</x:f>
        <x:v>131.74</x:v>
      </x:c>
      <x:c r="N480" s="7" t="n">
        <x:f>IF(J480="","",ROUND(J480*Tariffs!$D$6,2))</x:f>
        <x:v>131.87</x:v>
      </x:c>
      <x:c r="O480" s="7" t="n">
        <x:f>IF(J480="","",ROUND(J480*Tariffs!$D$7,2))</x:f>
        <x:v>131.97</x:v>
      </x:c>
      <x:c r="P480" s="5" t="str">
        <x:v>https://neuromia.ru/app/video/wan</x:v>
      </x:c>
      <x:c r="Q480" s="8" t="n">
        <x:v>46282.375</x:v>
      </x:c>
      <x:c r="R480" s="5" t="str">
        <x:v>Каждая длительность 2–15 с повторно выбрана с фото-референсом.</x:v>
      </x:c>
    </x:row>
    <x:row r="481" ht="22" customHeight="1">
      <x:c r="A481" s="5" t="str">
        <x:v>Видео</x:v>
      </x:c>
      <x:c r="B481" s="5" t="str">
        <x:v>Wan 2.7 R2V</x:v>
      </x:c>
      <x:c r="C481" s="5" t="str">
        <x:v>Референс → видео</x:v>
      </x:c>
      <x:c r="D481" s="5" t="str">
        <x:v>1080p</x:v>
      </x:c>
      <x:c r="E481" s="5" t="str">
        <x:v>—</x:v>
      </x:c>
      <x:c r="F481" s="5" t="n">
        <x:v>7</x:v>
      </x:c>
      <x:c r="G481" s="5" t="str">
        <x:v>—</x:v>
      </x:c>
      <x:c r="H481" s="5" t="str">
        <x:v>Синтетическое тестовое фото и промпт</x:v>
      </x:c>
      <x:c r="I481" s="6" t="n">
        <x:v>184.8</x:v>
      </x:c>
      <x:c r="J481" s="6" t="n">
        <x:v>184.8</x:v>
      </x:c>
      <x:c r="K481" s="5" t="str">
        <x:v>Точная цена в редакторе</x:v>
      </x:c>
      <x:c r="L481" s="5" t="str">
        <x:v>видео</x:v>
      </x:c>
      <x:c r="M481" s="7" t="n">
        <x:f>IF(J481="","",ROUND(J481*Tariffs!$D$5,2))</x:f>
        <x:v>153.69</x:v>
      </x:c>
      <x:c r="N481" s="7" t="n">
        <x:f>IF(J481="","",ROUND(J481*Tariffs!$D$6,2))</x:f>
        <x:v>153.85</x:v>
      </x:c>
      <x:c r="O481" s="7" t="n">
        <x:f>IF(J481="","",ROUND(J481*Tariffs!$D$7,2))</x:f>
        <x:v>153.97</x:v>
      </x:c>
      <x:c r="P481" s="5" t="str">
        <x:v>https://neuromia.ru/app/video/wan</x:v>
      </x:c>
      <x:c r="Q481" s="8" t="n">
        <x:v>46282.375</x:v>
      </x:c>
      <x:c r="R481" s="5" t="str">
        <x:v>Каждая длительность 2–15 с повторно выбрана с фото-референсом.</x:v>
      </x:c>
    </x:row>
    <x:row r="482" ht="22" customHeight="1">
      <x:c r="A482" s="5" t="str">
        <x:v>Видео</x:v>
      </x:c>
      <x:c r="B482" s="5" t="str">
        <x:v>Wan 2.7 R2V</x:v>
      </x:c>
      <x:c r="C482" s="5" t="str">
        <x:v>Референс → видео</x:v>
      </x:c>
      <x:c r="D482" s="5" t="str">
        <x:v>1080p</x:v>
      </x:c>
      <x:c r="E482" s="5" t="str">
        <x:v>—</x:v>
      </x:c>
      <x:c r="F482" s="5" t="n">
        <x:v>8</x:v>
      </x:c>
      <x:c r="G482" s="5" t="str">
        <x:v>—</x:v>
      </x:c>
      <x:c r="H482" s="5" t="str">
        <x:v>Синтетическое тестовое фото и промпт</x:v>
      </x:c>
      <x:c r="I482" s="6" t="n">
        <x:v>211.2</x:v>
      </x:c>
      <x:c r="J482" s="6" t="n">
        <x:v>211.2</x:v>
      </x:c>
      <x:c r="K482" s="5" t="str">
        <x:v>Точная цена в редакторе</x:v>
      </x:c>
      <x:c r="L482" s="5" t="str">
        <x:v>видео</x:v>
      </x:c>
      <x:c r="M482" s="7" t="n">
        <x:f>IF(J482="","",ROUND(J482*Tariffs!$D$5,2))</x:f>
        <x:v>175.65</x:v>
      </x:c>
      <x:c r="N482" s="7" t="n">
        <x:f>IF(J482="","",ROUND(J482*Tariffs!$D$6,2))</x:f>
        <x:v>175.82</x:v>
      </x:c>
      <x:c r="O482" s="7" t="n">
        <x:f>IF(J482="","",ROUND(J482*Tariffs!$D$7,2))</x:f>
        <x:v>175.96</x:v>
      </x:c>
      <x:c r="P482" s="5" t="str">
        <x:v>https://neuromia.ru/app/video/wan</x:v>
      </x:c>
      <x:c r="Q482" s="8" t="n">
        <x:v>46282.375</x:v>
      </x:c>
      <x:c r="R482" s="5" t="str">
        <x:v>Каждая длительность 2–15 с повторно выбрана с фото-референсом.</x:v>
      </x:c>
    </x:row>
    <x:row r="483" ht="22" customHeight="1">
      <x:c r="A483" s="5" t="str">
        <x:v>Видео</x:v>
      </x:c>
      <x:c r="B483" s="5" t="str">
        <x:v>Wan 2.7 R2V</x:v>
      </x:c>
      <x:c r="C483" s="5" t="str">
        <x:v>Референс → видео</x:v>
      </x:c>
      <x:c r="D483" s="5" t="str">
        <x:v>1080p</x:v>
      </x:c>
      <x:c r="E483" s="5" t="str">
        <x:v>—</x:v>
      </x:c>
      <x:c r="F483" s="5" t="n">
        <x:v>9</x:v>
      </x:c>
      <x:c r="G483" s="5" t="str">
        <x:v>—</x:v>
      </x:c>
      <x:c r="H483" s="5" t="str">
        <x:v>Синтетическое тестовое фото и промпт</x:v>
      </x:c>
      <x:c r="I483" s="6" t="n">
        <x:v>237.6</x:v>
      </x:c>
      <x:c r="J483" s="6" t="n">
        <x:v>237.6</x:v>
      </x:c>
      <x:c r="K483" s="5" t="str">
        <x:v>Точная цена в редакторе</x:v>
      </x:c>
      <x:c r="L483" s="5" t="str">
        <x:v>видео</x:v>
      </x:c>
      <x:c r="M483" s="7" t="n">
        <x:f>IF(J483="","",ROUND(J483*Tariffs!$D$5,2))</x:f>
        <x:v>197.6</x:v>
      </x:c>
      <x:c r="N483" s="7" t="n">
        <x:f>IF(J483="","",ROUND(J483*Tariffs!$D$6,2))</x:f>
        <x:v>197.8</x:v>
      </x:c>
      <x:c r="O483" s="7" t="n">
        <x:f>IF(J483="","",ROUND(J483*Tariffs!$D$7,2))</x:f>
        <x:v>197.96</x:v>
      </x:c>
      <x:c r="P483" s="5" t="str">
        <x:v>https://neuromia.ru/app/video/wan</x:v>
      </x:c>
      <x:c r="Q483" s="8" t="n">
        <x:v>46282.375</x:v>
      </x:c>
      <x:c r="R483" s="5" t="str">
        <x:v>Каждая длительность 2–15 с повторно выбрана с фото-референсом.</x:v>
      </x:c>
    </x:row>
    <x:row r="484" ht="22" customHeight="1">
      <x:c r="A484" s="5" t="str">
        <x:v>Видео</x:v>
      </x:c>
      <x:c r="B484" s="5" t="str">
        <x:v>Wan 2.7 R2V</x:v>
      </x:c>
      <x:c r="C484" s="5" t="str">
        <x:v>Референс → видео</x:v>
      </x:c>
      <x:c r="D484" s="5" t="str">
        <x:v>1080p</x:v>
      </x:c>
      <x:c r="E484" s="5" t="str">
        <x:v>—</x:v>
      </x:c>
      <x:c r="F484" s="5" t="n">
        <x:v>10</x:v>
      </x:c>
      <x:c r="G484" s="5" t="str">
        <x:v>—</x:v>
      </x:c>
      <x:c r="H484" s="5" t="str">
        <x:v>Синтетическое тестовое фото и промпт</x:v>
      </x:c>
      <x:c r="I484" s="6" t="n">
        <x:v>264</x:v>
      </x:c>
      <x:c r="J484" s="6" t="n">
        <x:v>264</x:v>
      </x:c>
      <x:c r="K484" s="5" t="str">
        <x:v>Точная цена в редакторе</x:v>
      </x:c>
      <x:c r="L484" s="5" t="str">
        <x:v>видео</x:v>
      </x:c>
      <x:c r="M484" s="7" t="n">
        <x:f>IF(J484="","",ROUND(J484*Tariffs!$D$5,2))</x:f>
        <x:v>219.56</x:v>
      </x:c>
      <x:c r="N484" s="7" t="n">
        <x:f>IF(J484="","",ROUND(J484*Tariffs!$D$6,2))</x:f>
        <x:v>219.78</x:v>
      </x:c>
      <x:c r="O484" s="7" t="n">
        <x:f>IF(J484="","",ROUND(J484*Tariffs!$D$7,2))</x:f>
        <x:v>219.96</x:v>
      </x:c>
      <x:c r="P484" s="5" t="str">
        <x:v>https://neuromia.ru/app/video/wan</x:v>
      </x:c>
      <x:c r="Q484" s="8" t="n">
        <x:v>46282.375</x:v>
      </x:c>
      <x:c r="R484" s="5" t="str">
        <x:v>Каждая длительность 2–15 с повторно выбрана с фото-референсом.</x:v>
      </x:c>
    </x:row>
    <x:row r="485" ht="22" customHeight="1">
      <x:c r="A485" s="5" t="str">
        <x:v>Видео</x:v>
      </x:c>
      <x:c r="B485" s="5" t="str">
        <x:v>Wan 2.7 R2V</x:v>
      </x:c>
      <x:c r="C485" s="5" t="str">
        <x:v>Референс → видео</x:v>
      </x:c>
      <x:c r="D485" s="5" t="str">
        <x:v>1080p</x:v>
      </x:c>
      <x:c r="E485" s="5" t="str">
        <x:v>—</x:v>
      </x:c>
      <x:c r="F485" s="5" t="n">
        <x:v>11</x:v>
      </x:c>
      <x:c r="G485" s="5" t="str">
        <x:v>—</x:v>
      </x:c>
      <x:c r="H485" s="5" t="str">
        <x:v>Синтетическое тестовое фото и промпт</x:v>
      </x:c>
      <x:c r="I485" s="6" t="n">
        <x:v>290.4</x:v>
      </x:c>
      <x:c r="J485" s="6" t="n">
        <x:v>290.4</x:v>
      </x:c>
      <x:c r="K485" s="5" t="str">
        <x:v>Точная цена в редакторе</x:v>
      </x:c>
      <x:c r="L485" s="5" t="str">
        <x:v>видео</x:v>
      </x:c>
      <x:c r="M485" s="7" t="n">
        <x:f>IF(J485="","",ROUND(J485*Tariffs!$D$5,2))</x:f>
        <x:v>241.52</x:v>
      </x:c>
      <x:c r="N485" s="7" t="n">
        <x:f>IF(J485="","",ROUND(J485*Tariffs!$D$6,2))</x:f>
        <x:v>241.76</x:v>
      </x:c>
      <x:c r="O485" s="7" t="n">
        <x:f>IF(J485="","",ROUND(J485*Tariffs!$D$7,2))</x:f>
        <x:v>241.95</x:v>
      </x:c>
      <x:c r="P485" s="5" t="str">
        <x:v>https://neuromia.ru/app/video/wan</x:v>
      </x:c>
      <x:c r="Q485" s="8" t="n">
        <x:v>46282.375</x:v>
      </x:c>
      <x:c r="R485" s="5" t="str">
        <x:v>Каждая длительность 2–15 с повторно выбрана с фото-референсом.</x:v>
      </x:c>
    </x:row>
    <x:row r="486" ht="22" customHeight="1">
      <x:c r="A486" s="5" t="str">
        <x:v>Видео</x:v>
      </x:c>
      <x:c r="B486" s="5" t="str">
        <x:v>Wan 2.7 R2V</x:v>
      </x:c>
      <x:c r="C486" s="5" t="str">
        <x:v>Референс → видео</x:v>
      </x:c>
      <x:c r="D486" s="5" t="str">
        <x:v>1080p</x:v>
      </x:c>
      <x:c r="E486" s="5" t="str">
        <x:v>—</x:v>
      </x:c>
      <x:c r="F486" s="5" t="n">
        <x:v>12</x:v>
      </x:c>
      <x:c r="G486" s="5" t="str">
        <x:v>—</x:v>
      </x:c>
      <x:c r="H486" s="5" t="str">
        <x:v>Синтетическое тестовое фото и промпт</x:v>
      </x:c>
      <x:c r="I486" s="6" t="n">
        <x:v>316.8</x:v>
      </x:c>
      <x:c r="J486" s="6" t="n">
        <x:v>316.8</x:v>
      </x:c>
      <x:c r="K486" s="5" t="str">
        <x:v>Точная цена в редакторе</x:v>
      </x:c>
      <x:c r="L486" s="5" t="str">
        <x:v>видео</x:v>
      </x:c>
      <x:c r="M486" s="7" t="n">
        <x:f>IF(J486="","",ROUND(J486*Tariffs!$D$5,2))</x:f>
        <x:v>263.47</x:v>
      </x:c>
      <x:c r="N486" s="7" t="n">
        <x:f>IF(J486="","",ROUND(J486*Tariffs!$D$6,2))</x:f>
        <x:v>263.74</x:v>
      </x:c>
      <x:c r="O486" s="7" t="n">
        <x:f>IF(J486="","",ROUND(J486*Tariffs!$D$7,2))</x:f>
        <x:v>263.95</x:v>
      </x:c>
      <x:c r="P486" s="5" t="str">
        <x:v>https://neuromia.ru/app/video/wan</x:v>
      </x:c>
      <x:c r="Q486" s="8" t="n">
        <x:v>46282.375</x:v>
      </x:c>
      <x:c r="R486" s="5" t="str">
        <x:v>Каждая длительность 2–15 с повторно выбрана с фото-референсом.</x:v>
      </x:c>
    </x:row>
    <x:row r="487" ht="22" customHeight="1">
      <x:c r="A487" s="5" t="str">
        <x:v>Видео</x:v>
      </x:c>
      <x:c r="B487" s="5" t="str">
        <x:v>Wan 2.7 R2V</x:v>
      </x:c>
      <x:c r="C487" s="5" t="str">
        <x:v>Референс → видео</x:v>
      </x:c>
      <x:c r="D487" s="5" t="str">
        <x:v>1080p</x:v>
      </x:c>
      <x:c r="E487" s="5" t="str">
        <x:v>—</x:v>
      </x:c>
      <x:c r="F487" s="5" t="n">
        <x:v>13</x:v>
      </x:c>
      <x:c r="G487" s="5" t="str">
        <x:v>—</x:v>
      </x:c>
      <x:c r="H487" s="5" t="str">
        <x:v>Синтетическое тестовое фото и промпт</x:v>
      </x:c>
      <x:c r="I487" s="6" t="n">
        <x:v>343.2</x:v>
      </x:c>
      <x:c r="J487" s="6" t="n">
        <x:v>343.2</x:v>
      </x:c>
      <x:c r="K487" s="5" t="str">
        <x:v>Точная цена в редакторе</x:v>
      </x:c>
      <x:c r="L487" s="5" t="str">
        <x:v>видео</x:v>
      </x:c>
      <x:c r="M487" s="7" t="n">
        <x:f>IF(J487="","",ROUND(J487*Tariffs!$D$5,2))</x:f>
        <x:v>285.43</x:v>
      </x:c>
      <x:c r="N487" s="7" t="n">
        <x:f>IF(J487="","",ROUND(J487*Tariffs!$D$6,2))</x:f>
        <x:v>285.71</x:v>
      </x:c>
      <x:c r="O487" s="7" t="n">
        <x:f>IF(J487="","",ROUND(J487*Tariffs!$D$7,2))</x:f>
        <x:v>285.94</x:v>
      </x:c>
      <x:c r="P487" s="5" t="str">
        <x:v>https://neuromia.ru/app/video/wan</x:v>
      </x:c>
      <x:c r="Q487" s="8" t="n">
        <x:v>46282.375</x:v>
      </x:c>
      <x:c r="R487" s="5" t="str">
        <x:v>Каждая длительность 2–15 с повторно выбрана с фото-референсом.</x:v>
      </x:c>
    </x:row>
    <x:row r="488" ht="22" customHeight="1">
      <x:c r="A488" s="5" t="str">
        <x:v>Видео</x:v>
      </x:c>
      <x:c r="B488" s="5" t="str">
        <x:v>Wan 2.7 R2V</x:v>
      </x:c>
      <x:c r="C488" s="5" t="str">
        <x:v>Референс → видео</x:v>
      </x:c>
      <x:c r="D488" s="5" t="str">
        <x:v>1080p</x:v>
      </x:c>
      <x:c r="E488" s="5" t="str">
        <x:v>—</x:v>
      </x:c>
      <x:c r="F488" s="5" t="n">
        <x:v>14</x:v>
      </x:c>
      <x:c r="G488" s="5" t="str">
        <x:v>—</x:v>
      </x:c>
      <x:c r="H488" s="5" t="str">
        <x:v>Синтетическое тестовое фото и промпт</x:v>
      </x:c>
      <x:c r="I488" s="6" t="n">
        <x:v>369.6</x:v>
      </x:c>
      <x:c r="J488" s="6" t="n">
        <x:v>369.6</x:v>
      </x:c>
      <x:c r="K488" s="5" t="str">
        <x:v>Точная цена в редакторе</x:v>
      </x:c>
      <x:c r="L488" s="5" t="str">
        <x:v>видео</x:v>
      </x:c>
      <x:c r="M488" s="7" t="n">
        <x:f>IF(J488="","",ROUND(J488*Tariffs!$D$5,2))</x:f>
        <x:v>307.38</x:v>
      </x:c>
      <x:c r="N488" s="7" t="n">
        <x:f>IF(J488="","",ROUND(J488*Tariffs!$D$6,2))</x:f>
        <x:v>307.69</x:v>
      </x:c>
      <x:c r="O488" s="7" t="n">
        <x:f>IF(J488="","",ROUND(J488*Tariffs!$D$7,2))</x:f>
        <x:v>307.94</x:v>
      </x:c>
      <x:c r="P488" s="5" t="str">
        <x:v>https://neuromia.ru/app/video/wan</x:v>
      </x:c>
      <x:c r="Q488" s="8" t="n">
        <x:v>46282.375</x:v>
      </x:c>
      <x:c r="R488" s="5" t="str">
        <x:v>Каждая длительность 2–15 с повторно выбрана с фото-референсом.</x:v>
      </x:c>
    </x:row>
    <x:row r="489" ht="22" customHeight="1">
      <x:c r="A489" s="5" t="str">
        <x:v>Видео</x:v>
      </x:c>
      <x:c r="B489" s="5" t="str">
        <x:v>Wan 2.7 R2V</x:v>
      </x:c>
      <x:c r="C489" s="5" t="str">
        <x:v>Референс → видео</x:v>
      </x:c>
      <x:c r="D489" s="5" t="str">
        <x:v>1080p</x:v>
      </x:c>
      <x:c r="E489" s="5" t="str">
        <x:v>—</x:v>
      </x:c>
      <x:c r="F489" s="5" t="n">
        <x:v>15</x:v>
      </x:c>
      <x:c r="G489" s="5" t="str">
        <x:v>—</x:v>
      </x:c>
      <x:c r="H489" s="5" t="str">
        <x:v>Синтетическое тестовое фото и промпт</x:v>
      </x:c>
      <x:c r="I489" s="6" t="n">
        <x:v>396</x:v>
      </x:c>
      <x:c r="J489" s="6" t="n">
        <x:v>396</x:v>
      </x:c>
      <x:c r="K489" s="5" t="str">
        <x:v>Точная цена в редакторе</x:v>
      </x:c>
      <x:c r="L489" s="5" t="str">
        <x:v>видео</x:v>
      </x:c>
      <x:c r="M489" s="7" t="n">
        <x:f>IF(J489="","",ROUND(J489*Tariffs!$D$5,2))</x:f>
        <x:v>329.34</x:v>
      </x:c>
      <x:c r="N489" s="7" t="n">
        <x:f>IF(J489="","",ROUND(J489*Tariffs!$D$6,2))</x:f>
        <x:v>329.67</x:v>
      </x:c>
      <x:c r="O489" s="7" t="n">
        <x:f>IF(J489="","",ROUND(J489*Tariffs!$D$7,2))</x:f>
        <x:v>329.93</x:v>
      </x:c>
      <x:c r="P489" s="5" t="str">
        <x:v>https://neuromia.ru/app/video/wan</x:v>
      </x:c>
      <x:c r="Q489" s="8" t="n">
        <x:v>46282.375</x:v>
      </x:c>
      <x:c r="R489" s="5" t="str">
        <x:v>Каждая длительность 2–15 с повторно выбрана с фото-референсом.</x:v>
      </x:c>
    </x:row>
    <x:row r="490" ht="22" customHeight="1">
      <x:c r="A490" s="5" t="str">
        <x:v>Видео</x:v>
      </x:c>
      <x:c r="B490" s="5" t="str">
        <x:v>Wan 2.6</x:v>
      </x:c>
      <x:c r="C490" s="5" t="str">
        <x:v>Текст → видео</x:v>
      </x:c>
      <x:c r="D490" s="5" t="str">
        <x:v>720p</x:v>
      </x:c>
      <x:c r="E490" s="5" t="str">
        <x:v>—</x:v>
      </x:c>
      <x:c r="F490" s="5" t="n">
        <x:v>5</x:v>
      </x:c>
      <x:c r="G490" s="5" t="str">
        <x:v>—</x:v>
      </x:c>
      <x:c r="H490" s="5" t="str">
        <x:v>Без исходного файла</x:v>
      </x:c>
      <x:c r="I490" s="6" t="n">
        <x:v>77</x:v>
      </x:c>
      <x:c r="J490" s="6" t="n">
        <x:v>77</x:v>
      </x:c>
      <x:c r="K490" s="5" t="str">
        <x:v>Точная цена в редакторе</x:v>
      </x:c>
      <x:c r="L490" s="5" t="str">
        <x:v>видео</x:v>
      </x:c>
      <x:c r="M490" s="7" t="n">
        <x:f>IF(J490="","",ROUND(J490*Tariffs!$D$5,2))</x:f>
        <x:v>64.04</x:v>
      </x:c>
      <x:c r="N490" s="7" t="n">
        <x:f>IF(J490="","",ROUND(J490*Tariffs!$D$6,2))</x:f>
        <x:v>64.1</x:v>
      </x:c>
      <x:c r="O490" s="7" t="n">
        <x:f>IF(J490="","",ROUND(J490*Tariffs!$D$7,2))</x:f>
        <x:v>64.15</x:v>
      </x:c>
      <x:c r="P490" s="5" t="str">
        <x:v>https://neuromia.ru/app/video/wan</x:v>
      </x:c>
      <x:c r="Q490" s="8" t="n">
        <x:v>46282.375</x:v>
      </x:c>
      <x:c r="R490" s="5" t="str"/>
    </x:row>
    <x:row r="491" ht="22" customHeight="1">
      <x:c r="A491" s="5" t="str">
        <x:v>Видео</x:v>
      </x:c>
      <x:c r="B491" s="5" t="str">
        <x:v>Wan 2.6</x:v>
      </x:c>
      <x:c r="C491" s="5" t="str">
        <x:v>Текст → видео</x:v>
      </x:c>
      <x:c r="D491" s="5" t="str">
        <x:v>720p</x:v>
      </x:c>
      <x:c r="E491" s="5" t="str">
        <x:v>—</x:v>
      </x:c>
      <x:c r="F491" s="5" t="n">
        <x:v>10</x:v>
      </x:c>
      <x:c r="G491" s="5" t="str">
        <x:v>—</x:v>
      </x:c>
      <x:c r="H491" s="5" t="str">
        <x:v>Без исходного файла</x:v>
      </x:c>
      <x:c r="I491" s="6" t="n">
        <x:v>154</x:v>
      </x:c>
      <x:c r="J491" s="6" t="n">
        <x:v>154</x:v>
      </x:c>
      <x:c r="K491" s="5" t="str">
        <x:v>Точная цена в редакторе</x:v>
      </x:c>
      <x:c r="L491" s="5" t="str">
        <x:v>видео</x:v>
      </x:c>
      <x:c r="M491" s="7" t="n">
        <x:f>IF(J491="","",ROUND(J491*Tariffs!$D$5,2))</x:f>
        <x:v>128.08</x:v>
      </x:c>
      <x:c r="N491" s="7" t="n">
        <x:f>IF(J491="","",ROUND(J491*Tariffs!$D$6,2))</x:f>
        <x:v>128.21</x:v>
      </x:c>
      <x:c r="O491" s="7" t="n">
        <x:f>IF(J491="","",ROUND(J491*Tariffs!$D$7,2))</x:f>
        <x:v>128.31</x:v>
      </x:c>
      <x:c r="P491" s="5" t="str">
        <x:v>https://neuromia.ru/app/video/wan</x:v>
      </x:c>
      <x:c r="Q491" s="8" t="n">
        <x:v>46282.375</x:v>
      </x:c>
      <x:c r="R491" s="5" t="str"/>
    </x:row>
    <x:row r="492" ht="22" customHeight="1">
      <x:c r="A492" s="5" t="str">
        <x:v>Видео</x:v>
      </x:c>
      <x:c r="B492" s="5" t="str">
        <x:v>Wan 2.6</x:v>
      </x:c>
      <x:c r="C492" s="5" t="str">
        <x:v>Текст → видео</x:v>
      </x:c>
      <x:c r="D492" s="5" t="str">
        <x:v>720p</x:v>
      </x:c>
      <x:c r="E492" s="5" t="str">
        <x:v>—</x:v>
      </x:c>
      <x:c r="F492" s="5" t="n">
        <x:v>15</x:v>
      </x:c>
      <x:c r="G492" s="5" t="str">
        <x:v>—</x:v>
      </x:c>
      <x:c r="H492" s="5" t="str">
        <x:v>Без исходного файла</x:v>
      </x:c>
      <x:c r="I492" s="6" t="n">
        <x:v>231</x:v>
      </x:c>
      <x:c r="J492" s="6" t="n">
        <x:v>231</x:v>
      </x:c>
      <x:c r="K492" s="5" t="str">
        <x:v>Точная цена в редакторе</x:v>
      </x:c>
      <x:c r="L492" s="5" t="str">
        <x:v>видео</x:v>
      </x:c>
      <x:c r="M492" s="7" t="n">
        <x:f>IF(J492="","",ROUND(J492*Tariffs!$D$5,2))</x:f>
        <x:v>192.12</x:v>
      </x:c>
      <x:c r="N492" s="7" t="n">
        <x:f>IF(J492="","",ROUND(J492*Tariffs!$D$6,2))</x:f>
        <x:v>192.31</x:v>
      </x:c>
      <x:c r="O492" s="7" t="n">
        <x:f>IF(J492="","",ROUND(J492*Tariffs!$D$7,2))</x:f>
        <x:v>192.46</x:v>
      </x:c>
      <x:c r="P492" s="5" t="str">
        <x:v>https://neuromia.ru/app/video/wan</x:v>
      </x:c>
      <x:c r="Q492" s="8" t="n">
        <x:v>46282.375</x:v>
      </x:c>
      <x:c r="R492" s="5" t="str"/>
    </x:row>
    <x:row r="493" ht="22" customHeight="1">
      <x:c r="A493" s="5" t="str">
        <x:v>Видео</x:v>
      </x:c>
      <x:c r="B493" s="5" t="str">
        <x:v>Wan 2.6</x:v>
      </x:c>
      <x:c r="C493" s="5" t="str">
        <x:v>Текст → видео</x:v>
      </x:c>
      <x:c r="D493" s="5" t="str">
        <x:v>1080p</x:v>
      </x:c>
      <x:c r="E493" s="5" t="str">
        <x:v>—</x:v>
      </x:c>
      <x:c r="F493" s="5" t="n">
        <x:v>5</x:v>
      </x:c>
      <x:c r="G493" s="5" t="str">
        <x:v>—</x:v>
      </x:c>
      <x:c r="H493" s="5" t="str">
        <x:v>Без исходного файла</x:v>
      </x:c>
      <x:c r="I493" s="6" t="n">
        <x:v>114.4</x:v>
      </x:c>
      <x:c r="J493" s="6" t="n">
        <x:v>114.4</x:v>
      </x:c>
      <x:c r="K493" s="5" t="str">
        <x:v>Точная цена в редакторе</x:v>
      </x:c>
      <x:c r="L493" s="5" t="str">
        <x:v>видео</x:v>
      </x:c>
      <x:c r="M493" s="7" t="n">
        <x:f>IF(J493="","",ROUND(J493*Tariffs!$D$5,2))</x:f>
        <x:v>95.14</x:v>
      </x:c>
      <x:c r="N493" s="7" t="n">
        <x:f>IF(J493="","",ROUND(J493*Tariffs!$D$6,2))</x:f>
        <x:v>95.24</x:v>
      </x:c>
      <x:c r="O493" s="7" t="n">
        <x:f>IF(J493="","",ROUND(J493*Tariffs!$D$7,2))</x:f>
        <x:v>95.31</x:v>
      </x:c>
      <x:c r="P493" s="5" t="str">
        <x:v>https://neuromia.ru/app/video/wan</x:v>
      </x:c>
      <x:c r="Q493" s="8" t="n">
        <x:v>46282.375</x:v>
      </x:c>
      <x:c r="R493" s="5" t="str"/>
    </x:row>
    <x:row r="494" ht="22" customHeight="1">
      <x:c r="A494" s="5" t="str">
        <x:v>Видео</x:v>
      </x:c>
      <x:c r="B494" s="5" t="str">
        <x:v>Wan 2.6</x:v>
      </x:c>
      <x:c r="C494" s="5" t="str">
        <x:v>Текст → видео</x:v>
      </x:c>
      <x:c r="D494" s="5" t="str">
        <x:v>1080p</x:v>
      </x:c>
      <x:c r="E494" s="5" t="str">
        <x:v>—</x:v>
      </x:c>
      <x:c r="F494" s="5" t="n">
        <x:v>10</x:v>
      </x:c>
      <x:c r="G494" s="5" t="str">
        <x:v>—</x:v>
      </x:c>
      <x:c r="H494" s="5" t="str">
        <x:v>Без исходного файла</x:v>
      </x:c>
      <x:c r="I494" s="6" t="n">
        <x:v>229.9</x:v>
      </x:c>
      <x:c r="J494" s="6" t="n">
        <x:v>229.9</x:v>
      </x:c>
      <x:c r="K494" s="5" t="str">
        <x:v>Точная цена в редакторе</x:v>
      </x:c>
      <x:c r="L494" s="5" t="str">
        <x:v>видео</x:v>
      </x:c>
      <x:c r="M494" s="7" t="n">
        <x:f>IF(J494="","",ROUND(J494*Tariffs!$D$5,2))</x:f>
        <x:v>191.2</x:v>
      </x:c>
      <x:c r="N494" s="7" t="n">
        <x:f>IF(J494="","",ROUND(J494*Tariffs!$D$6,2))</x:f>
        <x:v>191.39</x:v>
      </x:c>
      <x:c r="O494" s="7" t="n">
        <x:f>IF(J494="","",ROUND(J494*Tariffs!$D$7,2))</x:f>
        <x:v>191.55</x:v>
      </x:c>
      <x:c r="P494" s="5" t="str">
        <x:v>https://neuromia.ru/app/video/wan</x:v>
      </x:c>
      <x:c r="Q494" s="8" t="n">
        <x:v>46282.375</x:v>
      </x:c>
      <x:c r="R494" s="5" t="str"/>
    </x:row>
    <x:row r="495" ht="22" customHeight="1">
      <x:c r="A495" s="5" t="str">
        <x:v>Видео</x:v>
      </x:c>
      <x:c r="B495" s="5" t="str">
        <x:v>Wan 2.6</x:v>
      </x:c>
      <x:c r="C495" s="5" t="str">
        <x:v>Текст → видео</x:v>
      </x:c>
      <x:c r="D495" s="5" t="str">
        <x:v>1080p</x:v>
      </x:c>
      <x:c r="E495" s="5" t="str">
        <x:v>—</x:v>
      </x:c>
      <x:c r="F495" s="5" t="n">
        <x:v>15</x:v>
      </x:c>
      <x:c r="G495" s="5" t="str">
        <x:v>—</x:v>
      </x:c>
      <x:c r="H495" s="5" t="str">
        <x:v>Без исходного файла</x:v>
      </x:c>
      <x:c r="I495" s="6" t="n">
        <x:v>346.5</x:v>
      </x:c>
      <x:c r="J495" s="6" t="n">
        <x:v>346.5</x:v>
      </x:c>
      <x:c r="K495" s="5" t="str">
        <x:v>Точная цена в редакторе</x:v>
      </x:c>
      <x:c r="L495" s="5" t="str">
        <x:v>видео</x:v>
      </x:c>
      <x:c r="M495" s="7" t="n">
        <x:f>IF(J495="","",ROUND(J495*Tariffs!$D$5,2))</x:f>
        <x:v>288.17</x:v>
      </x:c>
      <x:c r="N495" s="7" t="n">
        <x:f>IF(J495="","",ROUND(J495*Tariffs!$D$6,2))</x:f>
        <x:v>288.46</x:v>
      </x:c>
      <x:c r="O495" s="7" t="n">
        <x:f>IF(J495="","",ROUND(J495*Tariffs!$D$7,2))</x:f>
        <x:v>288.69</x:v>
      </x:c>
      <x:c r="P495" s="5" t="str">
        <x:v>https://neuromia.ru/app/video/wan</x:v>
      </x:c>
      <x:c r="Q495" s="8" t="n">
        <x:v>46282.375</x:v>
      </x:c>
      <x:c r="R495" s="5" t="str"/>
    </x:row>
    <x:row r="496" ht="22" customHeight="1">
      <x:c r="A496" s="5" t="str">
        <x:v>Видео</x:v>
      </x:c>
      <x:c r="B496" s="5" t="str">
        <x:v>Wan 2.6 Fast</x:v>
      </x:c>
      <x:c r="C496" s="5" t="str">
        <x:v>Фото → видео</x:v>
      </x:c>
      <x:c r="D496" s="5" t="str">
        <x:v>720p</x:v>
      </x:c>
      <x:c r="E496" s="5" t="str">
        <x:v>—</x:v>
      </x:c>
      <x:c r="F496" s="5" t="n">
        <x:v>2</x:v>
      </x:c>
      <x:c r="G496" s="5" t="str">
        <x:v>—</x:v>
      </x:c>
      <x:c r="H496" s="5" t="str">
        <x:v>Синтетическое тестовое фото и промпт</x:v>
      </x:c>
      <x:c r="I496" s="6" t="n">
        <x:v>7.4</x:v>
      </x:c>
      <x:c r="J496" s="6" t="n">
        <x:v>7.4</x:v>
      </x:c>
      <x:c r="K496" s="5" t="str">
        <x:v>Точная цена в редакторе</x:v>
      </x:c>
      <x:c r="L496" s="5" t="str">
        <x:v>видео</x:v>
      </x:c>
      <x:c r="M496" s="7" t="n">
        <x:f>IF(J496="","",ROUND(J496*Tariffs!$D$5,2))</x:f>
        <x:v>6.15</x:v>
      </x:c>
      <x:c r="N496" s="7" t="n">
        <x:f>IF(J496="","",ROUND(J496*Tariffs!$D$6,2))</x:f>
        <x:v>6.16</x:v>
      </x:c>
      <x:c r="O496" s="7" t="n">
        <x:f>IF(J496="","",ROUND(J496*Tariffs!$D$7,2))</x:f>
        <x:v>6.17</x:v>
      </x:c>
      <x:c r="P496" s="5" t="str">
        <x:v>https://neuromia.ru/app/video/wan</x:v>
      </x:c>
      <x:c r="Q496" s="8" t="n">
        <x:v>46282.375</x:v>
      </x:c>
      <x:c r="R496" s="5" t="str">
        <x:v>Каждая длительность 2–15 с повторно выбрана после загрузки тестового фото.</x:v>
      </x:c>
    </x:row>
    <x:row r="497" ht="22" customHeight="1">
      <x:c r="A497" s="5" t="str">
        <x:v>Видео</x:v>
      </x:c>
      <x:c r="B497" s="5" t="str">
        <x:v>Wan 2.6 Fast</x:v>
      </x:c>
      <x:c r="C497" s="5" t="str">
        <x:v>Фото → видео</x:v>
      </x:c>
      <x:c r="D497" s="5" t="str">
        <x:v>720p</x:v>
      </x:c>
      <x:c r="E497" s="5" t="str">
        <x:v>—</x:v>
      </x:c>
      <x:c r="F497" s="5" t="n">
        <x:v>3</x:v>
      </x:c>
      <x:c r="G497" s="5" t="str">
        <x:v>—</x:v>
      </x:c>
      <x:c r="H497" s="5" t="str">
        <x:v>Синтетическое тестовое фото и промпт</x:v>
      </x:c>
      <x:c r="I497" s="6" t="n">
        <x:v>11.1</x:v>
      </x:c>
      <x:c r="J497" s="6" t="n">
        <x:v>11.1</x:v>
      </x:c>
      <x:c r="K497" s="5" t="str">
        <x:v>Точная цена в редакторе</x:v>
      </x:c>
      <x:c r="L497" s="5" t="str">
        <x:v>видео</x:v>
      </x:c>
      <x:c r="M497" s="7" t="n">
        <x:f>IF(J497="","",ROUND(J497*Tariffs!$D$5,2))</x:f>
        <x:v>9.23</x:v>
      </x:c>
      <x:c r="N497" s="7" t="n">
        <x:f>IF(J497="","",ROUND(J497*Tariffs!$D$6,2))</x:f>
        <x:v>9.24</x:v>
      </x:c>
      <x:c r="O497" s="7" t="n">
        <x:f>IF(J497="","",ROUND(J497*Tariffs!$D$7,2))</x:f>
        <x:v>9.25</x:v>
      </x:c>
      <x:c r="P497" s="5" t="str">
        <x:v>https://neuromia.ru/app/video/wan</x:v>
      </x:c>
      <x:c r="Q497" s="8" t="n">
        <x:v>46282.375</x:v>
      </x:c>
      <x:c r="R497" s="5" t="str">
        <x:v>Каждая длительность 2–15 с повторно выбрана после загрузки тестового фото.</x:v>
      </x:c>
    </x:row>
    <x:row r="498" ht="22" customHeight="1">
      <x:c r="A498" s="5" t="str">
        <x:v>Видео</x:v>
      </x:c>
      <x:c r="B498" s="5" t="str">
        <x:v>Wan 2.6 Fast</x:v>
      </x:c>
      <x:c r="C498" s="5" t="str">
        <x:v>Фото → видео</x:v>
      </x:c>
      <x:c r="D498" s="5" t="str">
        <x:v>720p</x:v>
      </x:c>
      <x:c r="E498" s="5" t="str">
        <x:v>—</x:v>
      </x:c>
      <x:c r="F498" s="5" t="n">
        <x:v>4</x:v>
      </x:c>
      <x:c r="G498" s="5" t="str">
        <x:v>—</x:v>
      </x:c>
      <x:c r="H498" s="5" t="str">
        <x:v>Синтетическое тестовое фото и промпт</x:v>
      </x:c>
      <x:c r="I498" s="6" t="n">
        <x:v>14.8</x:v>
      </x:c>
      <x:c r="J498" s="6" t="n">
        <x:v>14.8</x:v>
      </x:c>
      <x:c r="K498" s="5" t="str">
        <x:v>Точная цена в редакторе</x:v>
      </x:c>
      <x:c r="L498" s="5" t="str">
        <x:v>видео</x:v>
      </x:c>
      <x:c r="M498" s="7" t="n">
        <x:f>IF(J498="","",ROUND(J498*Tariffs!$D$5,2))</x:f>
        <x:v>12.31</x:v>
      </x:c>
      <x:c r="N498" s="7" t="n">
        <x:f>IF(J498="","",ROUND(J498*Tariffs!$D$6,2))</x:f>
        <x:v>12.32</x:v>
      </x:c>
      <x:c r="O498" s="7" t="n">
        <x:f>IF(J498="","",ROUND(J498*Tariffs!$D$7,2))</x:f>
        <x:v>12.33</x:v>
      </x:c>
      <x:c r="P498" s="5" t="str">
        <x:v>https://neuromia.ru/app/video/wan</x:v>
      </x:c>
      <x:c r="Q498" s="8" t="n">
        <x:v>46282.375</x:v>
      </x:c>
      <x:c r="R498" s="5" t="str">
        <x:v>Каждая длительность 2–15 с повторно выбрана после загрузки тестового фото.</x:v>
      </x:c>
    </x:row>
    <x:row r="499" ht="22" customHeight="1">
      <x:c r="A499" s="5" t="str">
        <x:v>Видео</x:v>
      </x:c>
      <x:c r="B499" s="5" t="str">
        <x:v>Wan 2.6 Fast</x:v>
      </x:c>
      <x:c r="C499" s="5" t="str">
        <x:v>Фото → видео</x:v>
      </x:c>
      <x:c r="D499" s="5" t="str">
        <x:v>720p</x:v>
      </x:c>
      <x:c r="E499" s="5" t="str">
        <x:v>—</x:v>
      </x:c>
      <x:c r="F499" s="5" t="n">
        <x:v>5</x:v>
      </x:c>
      <x:c r="G499" s="5" t="str">
        <x:v>—</x:v>
      </x:c>
      <x:c r="H499" s="5" t="str">
        <x:v>Синтетическое тестовое фото и промпт</x:v>
      </x:c>
      <x:c r="I499" s="6" t="n">
        <x:v>18.5</x:v>
      </x:c>
      <x:c r="J499" s="6" t="n">
        <x:v>18.5</x:v>
      </x:c>
      <x:c r="K499" s="5" t="str">
        <x:v>Точная цена в редакторе</x:v>
      </x:c>
      <x:c r="L499" s="5" t="str">
        <x:v>видео</x:v>
      </x:c>
      <x:c r="M499" s="7" t="n">
        <x:f>IF(J499="","",ROUND(J499*Tariffs!$D$5,2))</x:f>
        <x:v>15.39</x:v>
      </x:c>
      <x:c r="N499" s="7" t="n">
        <x:f>IF(J499="","",ROUND(J499*Tariffs!$D$6,2))</x:f>
        <x:v>15.4</x:v>
      </x:c>
      <x:c r="O499" s="7" t="n">
        <x:f>IF(J499="","",ROUND(J499*Tariffs!$D$7,2))</x:f>
        <x:v>15.41</x:v>
      </x:c>
      <x:c r="P499" s="5" t="str">
        <x:v>https://neuromia.ru/app/video/wan</x:v>
      </x:c>
      <x:c r="Q499" s="8" t="n">
        <x:v>46282.375</x:v>
      </x:c>
      <x:c r="R499" s="5" t="str">
        <x:v>Каждая длительность 2–15 с повторно выбрана после загрузки тестового фото.</x:v>
      </x:c>
    </x:row>
    <x:row r="500" ht="22" customHeight="1">
      <x:c r="A500" s="5" t="str">
        <x:v>Видео</x:v>
      </x:c>
      <x:c r="B500" s="5" t="str">
        <x:v>Wan 2.6 Fast</x:v>
      </x:c>
      <x:c r="C500" s="5" t="str">
        <x:v>Фото → видео</x:v>
      </x:c>
      <x:c r="D500" s="5" t="str">
        <x:v>720p</x:v>
      </x:c>
      <x:c r="E500" s="5" t="str">
        <x:v>—</x:v>
      </x:c>
      <x:c r="F500" s="5" t="n">
        <x:v>6</x:v>
      </x:c>
      <x:c r="G500" s="5" t="str">
        <x:v>—</x:v>
      </x:c>
      <x:c r="H500" s="5" t="str">
        <x:v>Синтетическое тестовое фото и промпт</x:v>
      </x:c>
      <x:c r="I500" s="6" t="n">
        <x:v>22.2</x:v>
      </x:c>
      <x:c r="J500" s="6" t="n">
        <x:v>22.2</x:v>
      </x:c>
      <x:c r="K500" s="5" t="str">
        <x:v>Точная цена в редакторе</x:v>
      </x:c>
      <x:c r="L500" s="5" t="str">
        <x:v>видео</x:v>
      </x:c>
      <x:c r="M500" s="7" t="n">
        <x:f>IF(J500="","",ROUND(J500*Tariffs!$D$5,2))</x:f>
        <x:v>18.46</x:v>
      </x:c>
      <x:c r="N500" s="7" t="n">
        <x:f>IF(J500="","",ROUND(J500*Tariffs!$D$6,2))</x:f>
        <x:v>18.48</x:v>
      </x:c>
      <x:c r="O500" s="7" t="n">
        <x:f>IF(J500="","",ROUND(J500*Tariffs!$D$7,2))</x:f>
        <x:v>18.5</x:v>
      </x:c>
      <x:c r="P500" s="5" t="str">
        <x:v>https://neuromia.ru/app/video/wan</x:v>
      </x:c>
      <x:c r="Q500" s="8" t="n">
        <x:v>46282.375</x:v>
      </x:c>
      <x:c r="R500" s="5" t="str">
        <x:v>Каждая длительность 2–15 с повторно выбрана после загрузки тестового фото.</x:v>
      </x:c>
    </x:row>
    <x:row r="501" ht="22" customHeight="1">
      <x:c r="A501" s="5" t="str">
        <x:v>Видео</x:v>
      </x:c>
      <x:c r="B501" s="5" t="str">
        <x:v>Wan 2.6 Fast</x:v>
      </x:c>
      <x:c r="C501" s="5" t="str">
        <x:v>Фото → видео</x:v>
      </x:c>
      <x:c r="D501" s="5" t="str">
        <x:v>720p</x:v>
      </x:c>
      <x:c r="E501" s="5" t="str">
        <x:v>—</x:v>
      </x:c>
      <x:c r="F501" s="5" t="n">
        <x:v>7</x:v>
      </x:c>
      <x:c r="G501" s="5" t="str">
        <x:v>—</x:v>
      </x:c>
      <x:c r="H501" s="5" t="str">
        <x:v>Синтетическое тестовое фото и промпт</x:v>
      </x:c>
      <x:c r="I501" s="6" t="n">
        <x:v>25.9</x:v>
      </x:c>
      <x:c r="J501" s="6" t="n">
        <x:v>25.9</x:v>
      </x:c>
      <x:c r="K501" s="5" t="str">
        <x:v>Точная цена в редакторе</x:v>
      </x:c>
      <x:c r="L501" s="5" t="str">
        <x:v>видео</x:v>
      </x:c>
      <x:c r="M501" s="7" t="n">
        <x:f>IF(J501="","",ROUND(J501*Tariffs!$D$5,2))</x:f>
        <x:v>21.54</x:v>
      </x:c>
      <x:c r="N501" s="7" t="n">
        <x:f>IF(J501="","",ROUND(J501*Tariffs!$D$6,2))</x:f>
        <x:v>21.56</x:v>
      </x:c>
      <x:c r="O501" s="7" t="n">
        <x:f>IF(J501="","",ROUND(J501*Tariffs!$D$7,2))</x:f>
        <x:v>21.58</x:v>
      </x:c>
      <x:c r="P501" s="5" t="str">
        <x:v>https://neuromia.ru/app/video/wan</x:v>
      </x:c>
      <x:c r="Q501" s="8" t="n">
        <x:v>46282.375</x:v>
      </x:c>
      <x:c r="R501" s="5" t="str">
        <x:v>Каждая длительность 2–15 с повторно выбрана после загрузки тестового фото.</x:v>
      </x:c>
    </x:row>
    <x:row r="502" ht="22" customHeight="1">
      <x:c r="A502" s="5" t="str">
        <x:v>Видео</x:v>
      </x:c>
      <x:c r="B502" s="5" t="str">
        <x:v>Wan 2.6 Fast</x:v>
      </x:c>
      <x:c r="C502" s="5" t="str">
        <x:v>Фото → видео</x:v>
      </x:c>
      <x:c r="D502" s="5" t="str">
        <x:v>720p</x:v>
      </x:c>
      <x:c r="E502" s="5" t="str">
        <x:v>—</x:v>
      </x:c>
      <x:c r="F502" s="5" t="n">
        <x:v>8</x:v>
      </x:c>
      <x:c r="G502" s="5" t="str">
        <x:v>—</x:v>
      </x:c>
      <x:c r="H502" s="5" t="str">
        <x:v>Синтетическое тестовое фото и промпт</x:v>
      </x:c>
      <x:c r="I502" s="6" t="n">
        <x:v>29.6</x:v>
      </x:c>
      <x:c r="J502" s="6" t="n">
        <x:v>29.6</x:v>
      </x:c>
      <x:c r="K502" s="5" t="str">
        <x:v>Точная цена в редакторе</x:v>
      </x:c>
      <x:c r="L502" s="5" t="str">
        <x:v>видео</x:v>
      </x:c>
      <x:c r="M502" s="7" t="n">
        <x:f>IF(J502="","",ROUND(J502*Tariffs!$D$5,2))</x:f>
        <x:v>24.62</x:v>
      </x:c>
      <x:c r="N502" s="7" t="n">
        <x:f>IF(J502="","",ROUND(J502*Tariffs!$D$6,2))</x:f>
        <x:v>24.64</x:v>
      </x:c>
      <x:c r="O502" s="7" t="n">
        <x:f>IF(J502="","",ROUND(J502*Tariffs!$D$7,2))</x:f>
        <x:v>24.66</x:v>
      </x:c>
      <x:c r="P502" s="5" t="str">
        <x:v>https://neuromia.ru/app/video/wan</x:v>
      </x:c>
      <x:c r="Q502" s="8" t="n">
        <x:v>46282.375</x:v>
      </x:c>
      <x:c r="R502" s="5" t="str">
        <x:v>Каждая длительность 2–15 с повторно выбрана после загрузки тестового фото.</x:v>
      </x:c>
    </x:row>
    <x:row r="503" ht="22" customHeight="1">
      <x:c r="A503" s="5" t="str">
        <x:v>Видео</x:v>
      </x:c>
      <x:c r="B503" s="5" t="str">
        <x:v>Wan 2.6 Fast</x:v>
      </x:c>
      <x:c r="C503" s="5" t="str">
        <x:v>Фото → видео</x:v>
      </x:c>
      <x:c r="D503" s="5" t="str">
        <x:v>720p</x:v>
      </x:c>
      <x:c r="E503" s="5" t="str">
        <x:v>—</x:v>
      </x:c>
      <x:c r="F503" s="5" t="n">
        <x:v>9</x:v>
      </x:c>
      <x:c r="G503" s="5" t="str">
        <x:v>—</x:v>
      </x:c>
      <x:c r="H503" s="5" t="str">
        <x:v>Синтетическое тестовое фото и промпт</x:v>
      </x:c>
      <x:c r="I503" s="6" t="n">
        <x:v>33.3</x:v>
      </x:c>
      <x:c r="J503" s="6" t="n">
        <x:v>33.3</x:v>
      </x:c>
      <x:c r="K503" s="5" t="str">
        <x:v>Точная цена в редакторе</x:v>
      </x:c>
      <x:c r="L503" s="5" t="str">
        <x:v>видео</x:v>
      </x:c>
      <x:c r="M503" s="7" t="n">
        <x:f>IF(J503="","",ROUND(J503*Tariffs!$D$5,2))</x:f>
        <x:v>27.69</x:v>
      </x:c>
      <x:c r="N503" s="7" t="n">
        <x:f>IF(J503="","",ROUND(J503*Tariffs!$D$6,2))</x:f>
        <x:v>27.72</x:v>
      </x:c>
      <x:c r="O503" s="7" t="n">
        <x:f>IF(J503="","",ROUND(J503*Tariffs!$D$7,2))</x:f>
        <x:v>27.74</x:v>
      </x:c>
      <x:c r="P503" s="5" t="str">
        <x:v>https://neuromia.ru/app/video/wan</x:v>
      </x:c>
      <x:c r="Q503" s="8" t="n">
        <x:v>46282.375</x:v>
      </x:c>
      <x:c r="R503" s="5" t="str">
        <x:v>Каждая длительность 2–15 с повторно выбрана после загрузки тестового фото.</x:v>
      </x:c>
    </x:row>
    <x:row r="504" ht="22" customHeight="1">
      <x:c r="A504" s="5" t="str">
        <x:v>Видео</x:v>
      </x:c>
      <x:c r="B504" s="5" t="str">
        <x:v>Wan 2.6 Fast</x:v>
      </x:c>
      <x:c r="C504" s="5" t="str">
        <x:v>Фото → видео</x:v>
      </x:c>
      <x:c r="D504" s="5" t="str">
        <x:v>720p</x:v>
      </x:c>
      <x:c r="E504" s="5" t="str">
        <x:v>—</x:v>
      </x:c>
      <x:c r="F504" s="5" t="n">
        <x:v>10</x:v>
      </x:c>
      <x:c r="G504" s="5" t="str">
        <x:v>—</x:v>
      </x:c>
      <x:c r="H504" s="5" t="str">
        <x:v>Синтетическое тестовое фото и промпт</x:v>
      </x:c>
      <x:c r="I504" s="6" t="n">
        <x:v>37</x:v>
      </x:c>
      <x:c r="J504" s="6" t="n">
        <x:v>37</x:v>
      </x:c>
      <x:c r="K504" s="5" t="str">
        <x:v>Точная цена в редакторе</x:v>
      </x:c>
      <x:c r="L504" s="5" t="str">
        <x:v>видео</x:v>
      </x:c>
      <x:c r="M504" s="7" t="n">
        <x:f>IF(J504="","",ROUND(J504*Tariffs!$D$5,2))</x:f>
        <x:v>30.77</x:v>
      </x:c>
      <x:c r="N504" s="7" t="n">
        <x:f>IF(J504="","",ROUND(J504*Tariffs!$D$6,2))</x:f>
        <x:v>30.8</x:v>
      </x:c>
      <x:c r="O504" s="7" t="n">
        <x:f>IF(J504="","",ROUND(J504*Tariffs!$D$7,2))</x:f>
        <x:v>30.83</x:v>
      </x:c>
      <x:c r="P504" s="5" t="str">
        <x:v>https://neuromia.ru/app/video/wan</x:v>
      </x:c>
      <x:c r="Q504" s="8" t="n">
        <x:v>46282.375</x:v>
      </x:c>
      <x:c r="R504" s="5" t="str">
        <x:v>Каждая длительность 2–15 с повторно выбрана после загрузки тестового фото.</x:v>
      </x:c>
    </x:row>
    <x:row r="505" ht="22" customHeight="1">
      <x:c r="A505" s="5" t="str">
        <x:v>Видео</x:v>
      </x:c>
      <x:c r="B505" s="5" t="str">
        <x:v>Wan 2.6 Fast</x:v>
      </x:c>
      <x:c r="C505" s="5" t="str">
        <x:v>Фото → видео</x:v>
      </x:c>
      <x:c r="D505" s="5" t="str">
        <x:v>720p</x:v>
      </x:c>
      <x:c r="E505" s="5" t="str">
        <x:v>—</x:v>
      </x:c>
      <x:c r="F505" s="5" t="n">
        <x:v>11</x:v>
      </x:c>
      <x:c r="G505" s="5" t="str">
        <x:v>—</x:v>
      </x:c>
      <x:c r="H505" s="5" t="str">
        <x:v>Синтетическое тестовое фото и промпт</x:v>
      </x:c>
      <x:c r="I505" s="6" t="n">
        <x:v>40.7</x:v>
      </x:c>
      <x:c r="J505" s="6" t="n">
        <x:v>40.7</x:v>
      </x:c>
      <x:c r="K505" s="5" t="str">
        <x:v>Точная цена в редакторе</x:v>
      </x:c>
      <x:c r="L505" s="5" t="str">
        <x:v>видео</x:v>
      </x:c>
      <x:c r="M505" s="7" t="n">
        <x:f>IF(J505="","",ROUND(J505*Tariffs!$D$5,2))</x:f>
        <x:v>33.85</x:v>
      </x:c>
      <x:c r="N505" s="7" t="n">
        <x:f>IF(J505="","",ROUND(J505*Tariffs!$D$6,2))</x:f>
        <x:v>33.88</x:v>
      </x:c>
      <x:c r="O505" s="7" t="n">
        <x:f>IF(J505="","",ROUND(J505*Tariffs!$D$7,2))</x:f>
        <x:v>33.91</x:v>
      </x:c>
      <x:c r="P505" s="5" t="str">
        <x:v>https://neuromia.ru/app/video/wan</x:v>
      </x:c>
      <x:c r="Q505" s="8" t="n">
        <x:v>46282.375</x:v>
      </x:c>
      <x:c r="R505" s="5" t="str">
        <x:v>Каждая длительность 2–15 с повторно выбрана после загрузки тестового фото.</x:v>
      </x:c>
    </x:row>
    <x:row r="506" ht="22" customHeight="1">
      <x:c r="A506" s="5" t="str">
        <x:v>Видео</x:v>
      </x:c>
      <x:c r="B506" s="5" t="str">
        <x:v>Wan 2.6 Fast</x:v>
      </x:c>
      <x:c r="C506" s="5" t="str">
        <x:v>Фото → видео</x:v>
      </x:c>
      <x:c r="D506" s="5" t="str">
        <x:v>720p</x:v>
      </x:c>
      <x:c r="E506" s="5" t="str">
        <x:v>—</x:v>
      </x:c>
      <x:c r="F506" s="5" t="n">
        <x:v>12</x:v>
      </x:c>
      <x:c r="G506" s="5" t="str">
        <x:v>—</x:v>
      </x:c>
      <x:c r="H506" s="5" t="str">
        <x:v>Синтетическое тестовое фото и промпт</x:v>
      </x:c>
      <x:c r="I506" s="6" t="n">
        <x:v>44.4</x:v>
      </x:c>
      <x:c r="J506" s="6" t="n">
        <x:v>44.4</x:v>
      </x:c>
      <x:c r="K506" s="5" t="str">
        <x:v>Точная цена в редакторе</x:v>
      </x:c>
      <x:c r="L506" s="5" t="str">
        <x:v>видео</x:v>
      </x:c>
      <x:c r="M506" s="7" t="n">
        <x:f>IF(J506="","",ROUND(J506*Tariffs!$D$5,2))</x:f>
        <x:v>36.93</x:v>
      </x:c>
      <x:c r="N506" s="7" t="n">
        <x:f>IF(J506="","",ROUND(J506*Tariffs!$D$6,2))</x:f>
        <x:v>36.96</x:v>
      </x:c>
      <x:c r="O506" s="7" t="n">
        <x:f>IF(J506="","",ROUND(J506*Tariffs!$D$7,2))</x:f>
        <x:v>36.99</x:v>
      </x:c>
      <x:c r="P506" s="5" t="str">
        <x:v>https://neuromia.ru/app/video/wan</x:v>
      </x:c>
      <x:c r="Q506" s="8" t="n">
        <x:v>46282.375</x:v>
      </x:c>
      <x:c r="R506" s="5" t="str">
        <x:v>Каждая длительность 2–15 с повторно выбрана после загрузки тестового фото.</x:v>
      </x:c>
    </x:row>
    <x:row r="507" ht="22" customHeight="1">
      <x:c r="A507" s="5" t="str">
        <x:v>Видео</x:v>
      </x:c>
      <x:c r="B507" s="5" t="str">
        <x:v>Wan 2.6 Fast</x:v>
      </x:c>
      <x:c r="C507" s="5" t="str">
        <x:v>Фото → видео</x:v>
      </x:c>
      <x:c r="D507" s="5" t="str">
        <x:v>720p</x:v>
      </x:c>
      <x:c r="E507" s="5" t="str">
        <x:v>—</x:v>
      </x:c>
      <x:c r="F507" s="5" t="n">
        <x:v>13</x:v>
      </x:c>
      <x:c r="G507" s="5" t="str">
        <x:v>—</x:v>
      </x:c>
      <x:c r="H507" s="5" t="str">
        <x:v>Синтетическое тестовое фото и промпт</x:v>
      </x:c>
      <x:c r="I507" s="6" t="n">
        <x:v>48.1</x:v>
      </x:c>
      <x:c r="J507" s="6" t="n">
        <x:v>48.1</x:v>
      </x:c>
      <x:c r="K507" s="5" t="str">
        <x:v>Точная цена в редакторе</x:v>
      </x:c>
      <x:c r="L507" s="5" t="str">
        <x:v>видео</x:v>
      </x:c>
      <x:c r="M507" s="7" t="n">
        <x:f>IF(J507="","",ROUND(J507*Tariffs!$D$5,2))</x:f>
        <x:v>40</x:v>
      </x:c>
      <x:c r="N507" s="7" t="n">
        <x:f>IF(J507="","",ROUND(J507*Tariffs!$D$6,2))</x:f>
        <x:v>40.04</x:v>
      </x:c>
      <x:c r="O507" s="7" t="n">
        <x:f>IF(J507="","",ROUND(J507*Tariffs!$D$7,2))</x:f>
        <x:v>40.08</x:v>
      </x:c>
      <x:c r="P507" s="5" t="str">
        <x:v>https://neuromia.ru/app/video/wan</x:v>
      </x:c>
      <x:c r="Q507" s="8" t="n">
        <x:v>46282.375</x:v>
      </x:c>
      <x:c r="R507" s="5" t="str">
        <x:v>Каждая длительность 2–15 с повторно выбрана после загрузки тестового фото.</x:v>
      </x:c>
    </x:row>
    <x:row r="508" ht="22" customHeight="1">
      <x:c r="A508" s="5" t="str">
        <x:v>Видео</x:v>
      </x:c>
      <x:c r="B508" s="5" t="str">
        <x:v>Wan 2.6 Fast</x:v>
      </x:c>
      <x:c r="C508" s="5" t="str">
        <x:v>Фото → видео</x:v>
      </x:c>
      <x:c r="D508" s="5" t="str">
        <x:v>720p</x:v>
      </x:c>
      <x:c r="E508" s="5" t="str">
        <x:v>—</x:v>
      </x:c>
      <x:c r="F508" s="5" t="n">
        <x:v>14</x:v>
      </x:c>
      <x:c r="G508" s="5" t="str">
        <x:v>—</x:v>
      </x:c>
      <x:c r="H508" s="5" t="str">
        <x:v>Синтетическое тестовое фото и промпт</x:v>
      </x:c>
      <x:c r="I508" s="6" t="n">
        <x:v>51.8</x:v>
      </x:c>
      <x:c r="J508" s="6" t="n">
        <x:v>51.8</x:v>
      </x:c>
      <x:c r="K508" s="5" t="str">
        <x:v>Точная цена в редакторе</x:v>
      </x:c>
      <x:c r="L508" s="5" t="str">
        <x:v>видео</x:v>
      </x:c>
      <x:c r="M508" s="7" t="n">
        <x:f>IF(J508="","",ROUND(J508*Tariffs!$D$5,2))</x:f>
        <x:v>43.08</x:v>
      </x:c>
      <x:c r="N508" s="7" t="n">
        <x:f>IF(J508="","",ROUND(J508*Tariffs!$D$6,2))</x:f>
        <x:v>43.12</x:v>
      </x:c>
      <x:c r="O508" s="7" t="n">
        <x:f>IF(J508="","",ROUND(J508*Tariffs!$D$7,2))</x:f>
        <x:v>43.16</x:v>
      </x:c>
      <x:c r="P508" s="5" t="str">
        <x:v>https://neuromia.ru/app/video/wan</x:v>
      </x:c>
      <x:c r="Q508" s="8" t="n">
        <x:v>46282.375</x:v>
      </x:c>
      <x:c r="R508" s="5" t="str">
        <x:v>Каждая длительность 2–15 с повторно выбрана после загрузки тестового фото.</x:v>
      </x:c>
    </x:row>
    <x:row r="509" ht="22" customHeight="1">
      <x:c r="A509" s="5" t="str">
        <x:v>Видео</x:v>
      </x:c>
      <x:c r="B509" s="5" t="str">
        <x:v>Wan 2.6 Fast</x:v>
      </x:c>
      <x:c r="C509" s="5" t="str">
        <x:v>Фото → видео</x:v>
      </x:c>
      <x:c r="D509" s="5" t="str">
        <x:v>720p</x:v>
      </x:c>
      <x:c r="E509" s="5" t="str">
        <x:v>—</x:v>
      </x:c>
      <x:c r="F509" s="5" t="n">
        <x:v>15</x:v>
      </x:c>
      <x:c r="G509" s="5" t="str">
        <x:v>—</x:v>
      </x:c>
      <x:c r="H509" s="5" t="str">
        <x:v>Синтетическое тестовое фото и промпт</x:v>
      </x:c>
      <x:c r="I509" s="6" t="n">
        <x:v>55.5</x:v>
      </x:c>
      <x:c r="J509" s="6" t="n">
        <x:v>55.5</x:v>
      </x:c>
      <x:c r="K509" s="5" t="str">
        <x:v>Точная цена в редакторе</x:v>
      </x:c>
      <x:c r="L509" s="5" t="str">
        <x:v>видео</x:v>
      </x:c>
      <x:c r="M509" s="7" t="n">
        <x:f>IF(J509="","",ROUND(J509*Tariffs!$D$5,2))</x:f>
        <x:v>46.16</x:v>
      </x:c>
      <x:c r="N509" s="7" t="n">
        <x:f>IF(J509="","",ROUND(J509*Tariffs!$D$6,2))</x:f>
        <x:v>46.2</x:v>
      </x:c>
      <x:c r="O509" s="7" t="n">
        <x:f>IF(J509="","",ROUND(J509*Tariffs!$D$7,2))</x:f>
        <x:v>46.24</x:v>
      </x:c>
      <x:c r="P509" s="5" t="str">
        <x:v>https://neuromia.ru/app/video/wan</x:v>
      </x:c>
      <x:c r="Q509" s="8" t="n">
        <x:v>46282.375</x:v>
      </x:c>
      <x:c r="R509" s="5" t="str">
        <x:v>Каждая длительность 2–15 с повторно выбрана после загрузки тестового фото.</x:v>
      </x:c>
    </x:row>
    <x:row r="510" ht="22" customHeight="1">
      <x:c r="A510" s="5" t="str">
        <x:v>Видео</x:v>
      </x:c>
      <x:c r="B510" s="5" t="str">
        <x:v>Wan 2.6 Fast</x:v>
      </x:c>
      <x:c r="C510" s="5" t="str">
        <x:v>Фото → видео</x:v>
      </x:c>
      <x:c r="D510" s="5" t="str">
        <x:v>1080p</x:v>
      </x:c>
      <x:c r="E510" s="5" t="str">
        <x:v>—</x:v>
      </x:c>
      <x:c r="F510" s="5" t="n">
        <x:v>2</x:v>
      </x:c>
      <x:c r="G510" s="5" t="str">
        <x:v>—</x:v>
      </x:c>
      <x:c r="H510" s="5" t="str">
        <x:v>Синтетическое тестовое фото и промпт</x:v>
      </x:c>
      <x:c r="I510" s="6" t="n">
        <x:v>12.32</x:v>
      </x:c>
      <x:c r="J510" s="6" t="n">
        <x:v>12.32</x:v>
      </x:c>
      <x:c r="K510" s="5" t="str">
        <x:v>Точная цена в редакторе</x:v>
      </x:c>
      <x:c r="L510" s="5" t="str">
        <x:v>видео</x:v>
      </x:c>
      <x:c r="M510" s="7" t="n">
        <x:f>IF(J510="","",ROUND(J510*Tariffs!$D$5,2))</x:f>
        <x:v>10.25</x:v>
      </x:c>
      <x:c r="N510" s="7" t="n">
        <x:f>IF(J510="","",ROUND(J510*Tariffs!$D$6,2))</x:f>
        <x:v>10.26</x:v>
      </x:c>
      <x:c r="O510" s="7" t="n">
        <x:f>IF(J510="","",ROUND(J510*Tariffs!$D$7,2))</x:f>
        <x:v>10.26</x:v>
      </x:c>
      <x:c r="P510" s="5" t="str">
        <x:v>https://neuromia.ru/app/video/wan</x:v>
      </x:c>
      <x:c r="Q510" s="8" t="n">
        <x:v>46282.375</x:v>
      </x:c>
      <x:c r="R510" s="5" t="str">
        <x:v>Каждая длительность 2–15 с повторно выбрана после загрузки тестового фото.</x:v>
      </x:c>
    </x:row>
    <x:row r="511" ht="22" customHeight="1">
      <x:c r="A511" s="5" t="str">
        <x:v>Видео</x:v>
      </x:c>
      <x:c r="B511" s="5" t="str">
        <x:v>Wan 2.6 Fast</x:v>
      </x:c>
      <x:c r="C511" s="5" t="str">
        <x:v>Фото → видео</x:v>
      </x:c>
      <x:c r="D511" s="5" t="str">
        <x:v>1080p</x:v>
      </x:c>
      <x:c r="E511" s="5" t="str">
        <x:v>—</x:v>
      </x:c>
      <x:c r="F511" s="5" t="n">
        <x:v>3</x:v>
      </x:c>
      <x:c r="G511" s="5" t="str">
        <x:v>—</x:v>
      </x:c>
      <x:c r="H511" s="5" t="str">
        <x:v>Синтетическое тестовое фото и промпт</x:v>
      </x:c>
      <x:c r="I511" s="6" t="n">
        <x:v>18.48</x:v>
      </x:c>
      <x:c r="J511" s="6" t="n">
        <x:v>18.48</x:v>
      </x:c>
      <x:c r="K511" s="5" t="str">
        <x:v>Точная цена в редакторе</x:v>
      </x:c>
      <x:c r="L511" s="5" t="str">
        <x:v>видео</x:v>
      </x:c>
      <x:c r="M511" s="7" t="n">
        <x:f>IF(J511="","",ROUND(J511*Tariffs!$D$5,2))</x:f>
        <x:v>15.37</x:v>
      </x:c>
      <x:c r="N511" s="7" t="n">
        <x:f>IF(J511="","",ROUND(J511*Tariffs!$D$6,2))</x:f>
        <x:v>15.38</x:v>
      </x:c>
      <x:c r="O511" s="7" t="n">
        <x:f>IF(J511="","",ROUND(J511*Tariffs!$D$7,2))</x:f>
        <x:v>15.4</x:v>
      </x:c>
      <x:c r="P511" s="5" t="str">
        <x:v>https://neuromia.ru/app/video/wan</x:v>
      </x:c>
      <x:c r="Q511" s="8" t="n">
        <x:v>46282.375</x:v>
      </x:c>
      <x:c r="R511" s="5" t="str">
        <x:v>Каждая длительность 2–15 с повторно выбрана после загрузки тестового фото.</x:v>
      </x:c>
    </x:row>
    <x:row r="512" ht="22" customHeight="1">
      <x:c r="A512" s="5" t="str">
        <x:v>Видео</x:v>
      </x:c>
      <x:c r="B512" s="5" t="str">
        <x:v>Wan 2.6 Fast</x:v>
      </x:c>
      <x:c r="C512" s="5" t="str">
        <x:v>Фото → видео</x:v>
      </x:c>
      <x:c r="D512" s="5" t="str">
        <x:v>1080p</x:v>
      </x:c>
      <x:c r="E512" s="5" t="str">
        <x:v>—</x:v>
      </x:c>
      <x:c r="F512" s="5" t="n">
        <x:v>4</x:v>
      </x:c>
      <x:c r="G512" s="5" t="str">
        <x:v>—</x:v>
      </x:c>
      <x:c r="H512" s="5" t="str">
        <x:v>Синтетическое тестовое фото и промпт</x:v>
      </x:c>
      <x:c r="I512" s="6" t="n">
        <x:v>24.64</x:v>
      </x:c>
      <x:c r="J512" s="6" t="n">
        <x:v>24.64</x:v>
      </x:c>
      <x:c r="K512" s="5" t="str">
        <x:v>Точная цена в редакторе</x:v>
      </x:c>
      <x:c r="L512" s="5" t="str">
        <x:v>видео</x:v>
      </x:c>
      <x:c r="M512" s="7" t="n">
        <x:f>IF(J512="","",ROUND(J512*Tariffs!$D$5,2))</x:f>
        <x:v>20.49</x:v>
      </x:c>
      <x:c r="N512" s="7" t="n">
        <x:f>IF(J512="","",ROUND(J512*Tariffs!$D$6,2))</x:f>
        <x:v>20.51</x:v>
      </x:c>
      <x:c r="O512" s="7" t="n">
        <x:f>IF(J512="","",ROUND(J512*Tariffs!$D$7,2))</x:f>
        <x:v>20.53</x:v>
      </x:c>
      <x:c r="P512" s="5" t="str">
        <x:v>https://neuromia.ru/app/video/wan</x:v>
      </x:c>
      <x:c r="Q512" s="8" t="n">
        <x:v>46282.375</x:v>
      </x:c>
      <x:c r="R512" s="5" t="str">
        <x:v>Каждая длительность 2–15 с повторно выбрана после загрузки тестового фото.</x:v>
      </x:c>
    </x:row>
    <x:row r="513" ht="22" customHeight="1">
      <x:c r="A513" s="5" t="str">
        <x:v>Видео</x:v>
      </x:c>
      <x:c r="B513" s="5" t="str">
        <x:v>Wan 2.6 Fast</x:v>
      </x:c>
      <x:c r="C513" s="5" t="str">
        <x:v>Фото → видео</x:v>
      </x:c>
      <x:c r="D513" s="5" t="str">
        <x:v>1080p</x:v>
      </x:c>
      <x:c r="E513" s="5" t="str">
        <x:v>—</x:v>
      </x:c>
      <x:c r="F513" s="5" t="n">
        <x:v>5</x:v>
      </x:c>
      <x:c r="G513" s="5" t="str">
        <x:v>—</x:v>
      </x:c>
      <x:c r="H513" s="5" t="str">
        <x:v>Синтетическое тестовое фото и промпт</x:v>
      </x:c>
      <x:c r="I513" s="6" t="n">
        <x:v>30.8</x:v>
      </x:c>
      <x:c r="J513" s="6" t="n">
        <x:v>30.8</x:v>
      </x:c>
      <x:c r="K513" s="5" t="str">
        <x:v>Точная цена в редакторе</x:v>
      </x:c>
      <x:c r="L513" s="5" t="str">
        <x:v>видео</x:v>
      </x:c>
      <x:c r="M513" s="7" t="n">
        <x:f>IF(J513="","",ROUND(J513*Tariffs!$D$5,2))</x:f>
        <x:v>25.62</x:v>
      </x:c>
      <x:c r="N513" s="7" t="n">
        <x:f>IF(J513="","",ROUND(J513*Tariffs!$D$6,2))</x:f>
        <x:v>25.64</x:v>
      </x:c>
      <x:c r="O513" s="7" t="n">
        <x:f>IF(J513="","",ROUND(J513*Tariffs!$D$7,2))</x:f>
        <x:v>25.66</x:v>
      </x:c>
      <x:c r="P513" s="5" t="str">
        <x:v>https://neuromia.ru/app/video/wan</x:v>
      </x:c>
      <x:c r="Q513" s="8" t="n">
        <x:v>46282.375</x:v>
      </x:c>
      <x:c r="R513" s="5" t="str">
        <x:v>Каждая длительность 2–15 с повторно выбрана после загрузки тестового фото.</x:v>
      </x:c>
    </x:row>
    <x:row r="514" ht="22" customHeight="1">
      <x:c r="A514" s="5" t="str">
        <x:v>Видео</x:v>
      </x:c>
      <x:c r="B514" s="5" t="str">
        <x:v>Wan 2.6 Fast</x:v>
      </x:c>
      <x:c r="C514" s="5" t="str">
        <x:v>Фото → видео</x:v>
      </x:c>
      <x:c r="D514" s="5" t="str">
        <x:v>1080p</x:v>
      </x:c>
      <x:c r="E514" s="5" t="str">
        <x:v>—</x:v>
      </x:c>
      <x:c r="F514" s="5" t="n">
        <x:v>6</x:v>
      </x:c>
      <x:c r="G514" s="5" t="str">
        <x:v>—</x:v>
      </x:c>
      <x:c r="H514" s="5" t="str">
        <x:v>Синтетическое тестовое фото и промпт</x:v>
      </x:c>
      <x:c r="I514" s="6" t="n">
        <x:v>36.96</x:v>
      </x:c>
      <x:c r="J514" s="6" t="n">
        <x:v>36.96</x:v>
      </x:c>
      <x:c r="K514" s="5" t="str">
        <x:v>Точная цена в редакторе</x:v>
      </x:c>
      <x:c r="L514" s="5" t="str">
        <x:v>видео</x:v>
      </x:c>
      <x:c r="M514" s="7" t="n">
        <x:f>IF(J514="","",ROUND(J514*Tariffs!$D$5,2))</x:f>
        <x:v>30.74</x:v>
      </x:c>
      <x:c r="N514" s="7" t="n">
        <x:f>IF(J514="","",ROUND(J514*Tariffs!$D$6,2))</x:f>
        <x:v>30.77</x:v>
      </x:c>
      <x:c r="O514" s="7" t="n">
        <x:f>IF(J514="","",ROUND(J514*Tariffs!$D$7,2))</x:f>
        <x:v>30.79</x:v>
      </x:c>
      <x:c r="P514" s="5" t="str">
        <x:v>https://neuromia.ru/app/video/wan</x:v>
      </x:c>
      <x:c r="Q514" s="8" t="n">
        <x:v>46282.375</x:v>
      </x:c>
      <x:c r="R514" s="5" t="str">
        <x:v>Каждая длительность 2–15 с повторно выбрана после загрузки тестового фото.</x:v>
      </x:c>
    </x:row>
    <x:row r="515" ht="22" customHeight="1">
      <x:c r="A515" s="5" t="str">
        <x:v>Видео</x:v>
      </x:c>
      <x:c r="B515" s="5" t="str">
        <x:v>Wan 2.6 Fast</x:v>
      </x:c>
      <x:c r="C515" s="5" t="str">
        <x:v>Фото → видео</x:v>
      </x:c>
      <x:c r="D515" s="5" t="str">
        <x:v>1080p</x:v>
      </x:c>
      <x:c r="E515" s="5" t="str">
        <x:v>—</x:v>
      </x:c>
      <x:c r="F515" s="5" t="n">
        <x:v>7</x:v>
      </x:c>
      <x:c r="G515" s="5" t="str">
        <x:v>—</x:v>
      </x:c>
      <x:c r="H515" s="5" t="str">
        <x:v>Синтетическое тестовое фото и промпт</x:v>
      </x:c>
      <x:c r="I515" s="6" t="n">
        <x:v>43.12</x:v>
      </x:c>
      <x:c r="J515" s="6" t="n">
        <x:v>43.12</x:v>
      </x:c>
      <x:c r="K515" s="5" t="str">
        <x:v>Точная цена в редакторе</x:v>
      </x:c>
      <x:c r="L515" s="5" t="str">
        <x:v>видео</x:v>
      </x:c>
      <x:c r="M515" s="7" t="n">
        <x:f>IF(J515="","",ROUND(J515*Tariffs!$D$5,2))</x:f>
        <x:v>35.86</x:v>
      </x:c>
      <x:c r="N515" s="7" t="n">
        <x:f>IF(J515="","",ROUND(J515*Tariffs!$D$6,2))</x:f>
        <x:v>35.9</x:v>
      </x:c>
      <x:c r="O515" s="7" t="n">
        <x:f>IF(J515="","",ROUND(J515*Tariffs!$D$7,2))</x:f>
        <x:v>35.93</x:v>
      </x:c>
      <x:c r="P515" s="5" t="str">
        <x:v>https://neuromia.ru/app/video/wan</x:v>
      </x:c>
      <x:c r="Q515" s="8" t="n">
        <x:v>46282.375</x:v>
      </x:c>
      <x:c r="R515" s="5" t="str">
        <x:v>Каждая длительность 2–15 с повторно выбрана после загрузки тестового фото.</x:v>
      </x:c>
    </x:row>
    <x:row r="516" ht="22" customHeight="1">
      <x:c r="A516" s="5" t="str">
        <x:v>Видео</x:v>
      </x:c>
      <x:c r="B516" s="5" t="str">
        <x:v>Wan 2.6 Fast</x:v>
      </x:c>
      <x:c r="C516" s="5" t="str">
        <x:v>Фото → видео</x:v>
      </x:c>
      <x:c r="D516" s="5" t="str">
        <x:v>1080p</x:v>
      </x:c>
      <x:c r="E516" s="5" t="str">
        <x:v>—</x:v>
      </x:c>
      <x:c r="F516" s="5" t="n">
        <x:v>8</x:v>
      </x:c>
      <x:c r="G516" s="5" t="str">
        <x:v>—</x:v>
      </x:c>
      <x:c r="H516" s="5" t="str">
        <x:v>Синтетическое тестовое фото и промпт</x:v>
      </x:c>
      <x:c r="I516" s="6" t="n">
        <x:v>49.28</x:v>
      </x:c>
      <x:c r="J516" s="6" t="n">
        <x:v>49.28</x:v>
      </x:c>
      <x:c r="K516" s="5" t="str">
        <x:v>Точная цена в редакторе</x:v>
      </x:c>
      <x:c r="L516" s="5" t="str">
        <x:v>видео</x:v>
      </x:c>
      <x:c r="M516" s="7" t="n">
        <x:f>IF(J516="","",ROUND(J516*Tariffs!$D$5,2))</x:f>
        <x:v>40.98</x:v>
      </x:c>
      <x:c r="N516" s="7" t="n">
        <x:f>IF(J516="","",ROUND(J516*Tariffs!$D$6,2))</x:f>
        <x:v>41.03</x:v>
      </x:c>
      <x:c r="O516" s="7" t="n">
        <x:f>IF(J516="","",ROUND(J516*Tariffs!$D$7,2))</x:f>
        <x:v>41.06</x:v>
      </x:c>
      <x:c r="P516" s="5" t="str">
        <x:v>https://neuromia.ru/app/video/wan</x:v>
      </x:c>
      <x:c r="Q516" s="8" t="n">
        <x:v>46282.375</x:v>
      </x:c>
      <x:c r="R516" s="5" t="str">
        <x:v>Каждая длительность 2–15 с повторно выбрана после загрузки тестового фото.</x:v>
      </x:c>
    </x:row>
    <x:row r="517" ht="22" customHeight="1">
      <x:c r="A517" s="5" t="str">
        <x:v>Видео</x:v>
      </x:c>
      <x:c r="B517" s="5" t="str">
        <x:v>Wan 2.6 Fast</x:v>
      </x:c>
      <x:c r="C517" s="5" t="str">
        <x:v>Фото → видео</x:v>
      </x:c>
      <x:c r="D517" s="5" t="str">
        <x:v>1080p</x:v>
      </x:c>
      <x:c r="E517" s="5" t="str">
        <x:v>—</x:v>
      </x:c>
      <x:c r="F517" s="5" t="n">
        <x:v>9</x:v>
      </x:c>
      <x:c r="G517" s="5" t="str">
        <x:v>—</x:v>
      </x:c>
      <x:c r="H517" s="5" t="str">
        <x:v>Синтетическое тестовое фото и промпт</x:v>
      </x:c>
      <x:c r="I517" s="6" t="n">
        <x:v>55.44</x:v>
      </x:c>
      <x:c r="J517" s="6" t="n">
        <x:v>55.44</x:v>
      </x:c>
      <x:c r="K517" s="5" t="str">
        <x:v>Точная цена в редакторе</x:v>
      </x:c>
      <x:c r="L517" s="5" t="str">
        <x:v>видео</x:v>
      </x:c>
      <x:c r="M517" s="7" t="n">
        <x:f>IF(J517="","",ROUND(J517*Tariffs!$D$5,2))</x:f>
        <x:v>46.11</x:v>
      </x:c>
      <x:c r="N517" s="7" t="n">
        <x:f>IF(J517="","",ROUND(J517*Tariffs!$D$6,2))</x:f>
        <x:v>46.15</x:v>
      </x:c>
      <x:c r="O517" s="7" t="n">
        <x:f>IF(J517="","",ROUND(J517*Tariffs!$D$7,2))</x:f>
        <x:v>46.19</x:v>
      </x:c>
      <x:c r="P517" s="5" t="str">
        <x:v>https://neuromia.ru/app/video/wan</x:v>
      </x:c>
      <x:c r="Q517" s="8" t="n">
        <x:v>46282.375</x:v>
      </x:c>
      <x:c r="R517" s="5" t="str">
        <x:v>Каждая длительность 2–15 с повторно выбрана после загрузки тестового фото.</x:v>
      </x:c>
    </x:row>
    <x:row r="518" ht="22" customHeight="1">
      <x:c r="A518" s="5" t="str">
        <x:v>Видео</x:v>
      </x:c>
      <x:c r="B518" s="5" t="str">
        <x:v>Wan 2.6 Fast</x:v>
      </x:c>
      <x:c r="C518" s="5" t="str">
        <x:v>Фото → видео</x:v>
      </x:c>
      <x:c r="D518" s="5" t="str">
        <x:v>1080p</x:v>
      </x:c>
      <x:c r="E518" s="5" t="str">
        <x:v>—</x:v>
      </x:c>
      <x:c r="F518" s="5" t="n">
        <x:v>10</x:v>
      </x:c>
      <x:c r="G518" s="5" t="str">
        <x:v>—</x:v>
      </x:c>
      <x:c r="H518" s="5" t="str">
        <x:v>Синтетическое тестовое фото и промпт</x:v>
      </x:c>
      <x:c r="I518" s="6" t="n">
        <x:v>61.6</x:v>
      </x:c>
      <x:c r="J518" s="6" t="n">
        <x:v>61.6</x:v>
      </x:c>
      <x:c r="K518" s="5" t="str">
        <x:v>Точная цена в редакторе</x:v>
      </x:c>
      <x:c r="L518" s="5" t="str">
        <x:v>видео</x:v>
      </x:c>
      <x:c r="M518" s="7" t="n">
        <x:f>IF(J518="","",ROUND(J518*Tariffs!$D$5,2))</x:f>
        <x:v>51.23</x:v>
      </x:c>
      <x:c r="N518" s="7" t="n">
        <x:f>IF(J518="","",ROUND(J518*Tariffs!$D$6,2))</x:f>
        <x:v>51.28</x:v>
      </x:c>
      <x:c r="O518" s="7" t="n">
        <x:f>IF(J518="","",ROUND(J518*Tariffs!$D$7,2))</x:f>
        <x:v>51.32</x:v>
      </x:c>
      <x:c r="P518" s="5" t="str">
        <x:v>https://neuromia.ru/app/video/wan</x:v>
      </x:c>
      <x:c r="Q518" s="8" t="n">
        <x:v>46282.375</x:v>
      </x:c>
      <x:c r="R518" s="5" t="str">
        <x:v>Каждая длительность 2–15 с повторно выбрана после загрузки тестового фото.</x:v>
      </x:c>
    </x:row>
    <x:row r="519" ht="22" customHeight="1">
      <x:c r="A519" s="5" t="str">
        <x:v>Видео</x:v>
      </x:c>
      <x:c r="B519" s="5" t="str">
        <x:v>Wan 2.6 Fast</x:v>
      </x:c>
      <x:c r="C519" s="5" t="str">
        <x:v>Фото → видео</x:v>
      </x:c>
      <x:c r="D519" s="5" t="str">
        <x:v>1080p</x:v>
      </x:c>
      <x:c r="E519" s="5" t="str">
        <x:v>—</x:v>
      </x:c>
      <x:c r="F519" s="5" t="n">
        <x:v>11</x:v>
      </x:c>
      <x:c r="G519" s="5" t="str">
        <x:v>—</x:v>
      </x:c>
      <x:c r="H519" s="5" t="str">
        <x:v>Синтетическое тестовое фото и промпт</x:v>
      </x:c>
      <x:c r="I519" s="6" t="n">
        <x:v>67.76</x:v>
      </x:c>
      <x:c r="J519" s="6" t="n">
        <x:v>67.76</x:v>
      </x:c>
      <x:c r="K519" s="5" t="str">
        <x:v>Точная цена в редакторе</x:v>
      </x:c>
      <x:c r="L519" s="5" t="str">
        <x:v>видео</x:v>
      </x:c>
      <x:c r="M519" s="7" t="n">
        <x:f>IF(J519="","",ROUND(J519*Tariffs!$D$5,2))</x:f>
        <x:v>56.35</x:v>
      </x:c>
      <x:c r="N519" s="7" t="n">
        <x:f>IF(J519="","",ROUND(J519*Tariffs!$D$6,2))</x:f>
        <x:v>56.41</x:v>
      </x:c>
      <x:c r="O519" s="7" t="n">
        <x:f>IF(J519="","",ROUND(J519*Tariffs!$D$7,2))</x:f>
        <x:v>56.46</x:v>
      </x:c>
      <x:c r="P519" s="5" t="str">
        <x:v>https://neuromia.ru/app/video/wan</x:v>
      </x:c>
      <x:c r="Q519" s="8" t="n">
        <x:v>46282.375</x:v>
      </x:c>
      <x:c r="R519" s="5" t="str">
        <x:v>Каждая длительность 2–15 с повторно выбрана после загрузки тестового фото.</x:v>
      </x:c>
    </x:row>
    <x:row r="520" ht="22" customHeight="1">
      <x:c r="A520" s="5" t="str">
        <x:v>Видео</x:v>
      </x:c>
      <x:c r="B520" s="5" t="str">
        <x:v>Wan 2.6 Fast</x:v>
      </x:c>
      <x:c r="C520" s="5" t="str">
        <x:v>Фото → видео</x:v>
      </x:c>
      <x:c r="D520" s="5" t="str">
        <x:v>1080p</x:v>
      </x:c>
      <x:c r="E520" s="5" t="str">
        <x:v>—</x:v>
      </x:c>
      <x:c r="F520" s="5" t="n">
        <x:v>12</x:v>
      </x:c>
      <x:c r="G520" s="5" t="str">
        <x:v>—</x:v>
      </x:c>
      <x:c r="H520" s="5" t="str">
        <x:v>Синтетическое тестовое фото и промпт</x:v>
      </x:c>
      <x:c r="I520" s="6" t="n">
        <x:v>73.92</x:v>
      </x:c>
      <x:c r="J520" s="6" t="n">
        <x:v>73.92</x:v>
      </x:c>
      <x:c r="K520" s="5" t="str">
        <x:v>Точная цена в редакторе</x:v>
      </x:c>
      <x:c r="L520" s="5" t="str">
        <x:v>видео</x:v>
      </x:c>
      <x:c r="M520" s="7" t="n">
        <x:f>IF(J520="","",ROUND(J520*Tariffs!$D$5,2))</x:f>
        <x:v>61.48</x:v>
      </x:c>
      <x:c r="N520" s="7" t="n">
        <x:f>IF(J520="","",ROUND(J520*Tariffs!$D$6,2))</x:f>
        <x:v>61.54</x:v>
      </x:c>
      <x:c r="O520" s="7" t="n">
        <x:f>IF(J520="","",ROUND(J520*Tariffs!$D$7,2))</x:f>
        <x:v>61.59</x:v>
      </x:c>
      <x:c r="P520" s="5" t="str">
        <x:v>https://neuromia.ru/app/video/wan</x:v>
      </x:c>
      <x:c r="Q520" s="8" t="n">
        <x:v>46282.375</x:v>
      </x:c>
      <x:c r="R520" s="5" t="str">
        <x:v>Каждая длительность 2–15 с повторно выбрана после загрузки тестового фото.</x:v>
      </x:c>
    </x:row>
    <x:row r="521" ht="22" customHeight="1">
      <x:c r="A521" s="5" t="str">
        <x:v>Видео</x:v>
      </x:c>
      <x:c r="B521" s="5" t="str">
        <x:v>Wan 2.6 Fast</x:v>
      </x:c>
      <x:c r="C521" s="5" t="str">
        <x:v>Фото → видео</x:v>
      </x:c>
      <x:c r="D521" s="5" t="str">
        <x:v>1080p</x:v>
      </x:c>
      <x:c r="E521" s="5" t="str">
        <x:v>—</x:v>
      </x:c>
      <x:c r="F521" s="5" t="n">
        <x:v>13</x:v>
      </x:c>
      <x:c r="G521" s="5" t="str">
        <x:v>—</x:v>
      </x:c>
      <x:c r="H521" s="5" t="str">
        <x:v>Синтетическое тестовое фото и промпт</x:v>
      </x:c>
      <x:c r="I521" s="6" t="n">
        <x:v>80.08</x:v>
      </x:c>
      <x:c r="J521" s="6" t="n">
        <x:v>80.08</x:v>
      </x:c>
      <x:c r="K521" s="5" t="str">
        <x:v>Точная цена в редакторе</x:v>
      </x:c>
      <x:c r="L521" s="5" t="str">
        <x:v>видео</x:v>
      </x:c>
      <x:c r="M521" s="7" t="n">
        <x:f>IF(J521="","",ROUND(J521*Tariffs!$D$5,2))</x:f>
        <x:v>66.6</x:v>
      </x:c>
      <x:c r="N521" s="7" t="n">
        <x:f>IF(J521="","",ROUND(J521*Tariffs!$D$6,2))</x:f>
        <x:v>66.67</x:v>
      </x:c>
      <x:c r="O521" s="7" t="n">
        <x:f>IF(J521="","",ROUND(J521*Tariffs!$D$7,2))</x:f>
        <x:v>66.72</x:v>
      </x:c>
      <x:c r="P521" s="5" t="str">
        <x:v>https://neuromia.ru/app/video/wan</x:v>
      </x:c>
      <x:c r="Q521" s="8" t="n">
        <x:v>46282.375</x:v>
      </x:c>
      <x:c r="R521" s="5" t="str">
        <x:v>Каждая длительность 2–15 с повторно выбрана после загрузки тестового фото.</x:v>
      </x:c>
    </x:row>
    <x:row r="522" ht="22" customHeight="1">
      <x:c r="A522" s="5" t="str">
        <x:v>Видео</x:v>
      </x:c>
      <x:c r="B522" s="5" t="str">
        <x:v>Wan 2.6 Fast</x:v>
      </x:c>
      <x:c r="C522" s="5" t="str">
        <x:v>Фото → видео</x:v>
      </x:c>
      <x:c r="D522" s="5" t="str">
        <x:v>1080p</x:v>
      </x:c>
      <x:c r="E522" s="5" t="str">
        <x:v>—</x:v>
      </x:c>
      <x:c r="F522" s="5" t="n">
        <x:v>14</x:v>
      </x:c>
      <x:c r="G522" s="5" t="str">
        <x:v>—</x:v>
      </x:c>
      <x:c r="H522" s="5" t="str">
        <x:v>Синтетическое тестовое фото и промпт</x:v>
      </x:c>
      <x:c r="I522" s="6" t="n">
        <x:v>86.24</x:v>
      </x:c>
      <x:c r="J522" s="6" t="n">
        <x:v>86.24</x:v>
      </x:c>
      <x:c r="K522" s="5" t="str">
        <x:v>Точная цена в редакторе</x:v>
      </x:c>
      <x:c r="L522" s="5" t="str">
        <x:v>видео</x:v>
      </x:c>
      <x:c r="M522" s="7" t="n">
        <x:f>IF(J522="","",ROUND(J522*Tariffs!$D$5,2))</x:f>
        <x:v>71.72</x:v>
      </x:c>
      <x:c r="N522" s="7" t="n">
        <x:f>IF(J522="","",ROUND(J522*Tariffs!$D$6,2))</x:f>
        <x:v>71.79</x:v>
      </x:c>
      <x:c r="O522" s="7" t="n">
        <x:f>IF(J522="","",ROUND(J522*Tariffs!$D$7,2))</x:f>
        <x:v>71.85</x:v>
      </x:c>
      <x:c r="P522" s="5" t="str">
        <x:v>https://neuromia.ru/app/video/wan</x:v>
      </x:c>
      <x:c r="Q522" s="8" t="n">
        <x:v>46282.375</x:v>
      </x:c>
      <x:c r="R522" s="5" t="str">
        <x:v>Каждая длительность 2–15 с повторно выбрана после загрузки тестового фото.</x:v>
      </x:c>
    </x:row>
    <x:row r="523" ht="22" customHeight="1">
      <x:c r="A523" s="5" t="str">
        <x:v>Видео</x:v>
      </x:c>
      <x:c r="B523" s="5" t="str">
        <x:v>Wan 2.6 Fast</x:v>
      </x:c>
      <x:c r="C523" s="5" t="str">
        <x:v>Фото → видео</x:v>
      </x:c>
      <x:c r="D523" s="5" t="str">
        <x:v>1080p</x:v>
      </x:c>
      <x:c r="E523" s="5" t="str">
        <x:v>—</x:v>
      </x:c>
      <x:c r="F523" s="5" t="n">
        <x:v>15</x:v>
      </x:c>
      <x:c r="G523" s="5" t="str">
        <x:v>—</x:v>
      </x:c>
      <x:c r="H523" s="5" t="str">
        <x:v>Синтетическое тестовое фото и промпт</x:v>
      </x:c>
      <x:c r="I523" s="6" t="n">
        <x:v>92.4</x:v>
      </x:c>
      <x:c r="J523" s="6" t="n">
        <x:v>92.4</x:v>
      </x:c>
      <x:c r="K523" s="5" t="str">
        <x:v>Точная цена в редакторе</x:v>
      </x:c>
      <x:c r="L523" s="5" t="str">
        <x:v>видео</x:v>
      </x:c>
      <x:c r="M523" s="7" t="n">
        <x:f>IF(J523="","",ROUND(J523*Tariffs!$D$5,2))</x:f>
        <x:v>76.85</x:v>
      </x:c>
      <x:c r="N523" s="7" t="n">
        <x:f>IF(J523="","",ROUND(J523*Tariffs!$D$6,2))</x:f>
        <x:v>76.92</x:v>
      </x:c>
      <x:c r="O523" s="7" t="n">
        <x:f>IF(J523="","",ROUND(J523*Tariffs!$D$7,2))</x:f>
        <x:v>76.98</x:v>
      </x:c>
      <x:c r="P523" s="5" t="str">
        <x:v>https://neuromia.ru/app/video/wan</x:v>
      </x:c>
      <x:c r="Q523" s="8" t="n">
        <x:v>46282.375</x:v>
      </x:c>
      <x:c r="R523" s="5" t="str">
        <x:v>Каждая длительность 2–15 с повторно выбрана после загрузки тестового фото.</x:v>
      </x:c>
    </x:row>
    <x:row r="524" ht="22" customHeight="1">
      <x:c r="A524" s="5" t="str">
        <x:v>Видео</x:v>
      </x:c>
      <x:c r="B524" s="5" t="str">
        <x:v>Wan 2.2 Animate</x:v>
      </x:c>
      <x:c r="C524" s="5" t="str">
        <x:v>Фото + видео → анимация</x:v>
      </x:c>
      <x:c r="D524" s="5" t="str">
        <x:v>480p</x:v>
      </x:c>
      <x:c r="E524" s="5" t="str">
        <x:v>—</x:v>
      </x:c>
      <x:c r="F524" s="5" t="str">
        <x:v>без видео движения</x:v>
      </x:c>
      <x:c r="G524" s="5" t="str">
        <x:v>—</x:v>
      </x:c>
      <x:c r="H524" s="5" t="str">
        <x:v>Исходные фото и видео обязательны</x:v>
      </x:c>
      <x:c r="I524" s="6" t="n">
        <x:v>33</x:v>
      </x:c>
      <x:c r="J524" s="6"/>
      <x:c r="K524" s="5" t="str">
        <x:v>До загрузки файла</x:v>
      </x:c>
      <x:c r="L524" s="5" t="str">
        <x:v>видео</x:v>
      </x:c>
      <x:c r="M524" s="7" t="str">
        <x:f>IF(J524="","",ROUND(J524*Tariffs!$D$5,2))</x:f>
      </x:c>
      <x:c r="N524" s="7" t="str">
        <x:f>IF(J524="","",ROUND(J524*Tariffs!$D$6,2))</x:f>
      </x:c>
      <x:c r="O524" s="7" t="str">
        <x:f>IF(J524="","",ROUND(J524*Tariffs!$D$7,2))</x:f>
      </x:c>
      <x:c r="P524" s="5" t="str">
        <x:v>https://neuromia.ru/app/video/wan</x:v>
      </x:c>
      <x:c r="Q524" s="8" t="n">
        <x:v>46282.375</x:v>
      </x:c>
      <x:c r="R524" s="5" t="str">
        <x:v>Стартовая сумма соответствует 5 с, но файл не загружен.</x:v>
      </x:c>
    </x:row>
    <x:row r="525" ht="22" customHeight="1">
      <x:c r="A525" s="5" t="str">
        <x:v>Видео</x:v>
      </x:c>
      <x:c r="B525" s="5" t="str">
        <x:v>Wan 2.2 Animate</x:v>
      </x:c>
      <x:c r="C525" s="5" t="str">
        <x:v>Фото + видео → анимация</x:v>
      </x:c>
      <x:c r="D525" s="5" t="str">
        <x:v>480p</x:v>
      </x:c>
      <x:c r="E525" s="5" t="str">
        <x:v>—</x:v>
      </x:c>
      <x:c r="F525" s="5" t="n">
        <x:v>6</x:v>
      </x:c>
      <x:c r="G525" s="5" t="str">
        <x:v>—</x:v>
      </x:c>
      <x:c r="H525" s="5" t="str">
        <x:v>Синтетическое фото и видео H.264 загружены</x:v>
      </x:c>
      <x:c r="I525" s="6" t="n">
        <x:v>39.6</x:v>
      </x:c>
      <x:c r="J525" s="6" t="n">
        <x:v>39.6</x:v>
      </x:c>
      <x:c r="K525" s="5" t="str">
        <x:v>Точная цена в редакторе</x:v>
      </x:c>
      <x:c r="L525" s="5" t="str">
        <x:v>видео</x:v>
      </x:c>
      <x:c r="M525" s="7" t="n">
        <x:f>IF(J525="","",ROUND(J525*Tariffs!$D$5,2))</x:f>
        <x:v>32.93</x:v>
      </x:c>
      <x:c r="N525" s="7" t="n">
        <x:f>IF(J525="","",ROUND(J525*Tariffs!$D$6,2))</x:f>
        <x:v>32.97</x:v>
      </x:c>
      <x:c r="O525" s="7" t="n">
        <x:f>IF(J525="","",ROUND(J525*Tariffs!$D$7,2))</x:f>
        <x:v>32.99</x:v>
      </x:c>
      <x:c r="P525" s="5" t="str">
        <x:v>https://neuromia.ru/app/video/wan</x:v>
      </x:c>
      <x:c r="Q525" s="8" t="n">
        <x:v>46282.375</x:v>
      </x:c>
      <x:c r="R525" s="5" t="str">
        <x:v>Длительность взята из исходного видео. Для 6 и 12 с наблюдались ставки 6,6/10,45/13,75 кр/с по качеству.</x:v>
      </x:c>
    </x:row>
    <x:row r="526" ht="22" customHeight="1">
      <x:c r="A526" s="5" t="str">
        <x:v>Видео</x:v>
      </x:c>
      <x:c r="B526" s="5" t="str">
        <x:v>Wan 2.2 Animate</x:v>
      </x:c>
      <x:c r="C526" s="5" t="str">
        <x:v>Фото + видео → анимация</x:v>
      </x:c>
      <x:c r="D526" s="5" t="str">
        <x:v>480p</x:v>
      </x:c>
      <x:c r="E526" s="5" t="str">
        <x:v>—</x:v>
      </x:c>
      <x:c r="F526" s="5" t="n">
        <x:v>12</x:v>
      </x:c>
      <x:c r="G526" s="5" t="str">
        <x:v>—</x:v>
      </x:c>
      <x:c r="H526" s="5" t="str">
        <x:v>Синтетическое фото и видео H.264 загружены</x:v>
      </x:c>
      <x:c r="I526" s="6" t="n">
        <x:v>79.2</x:v>
      </x:c>
      <x:c r="J526" s="6" t="n">
        <x:v>79.2</x:v>
      </x:c>
      <x:c r="K526" s="5" t="str">
        <x:v>Точная цена в редакторе</x:v>
      </x:c>
      <x:c r="L526" s="5" t="str">
        <x:v>видео</x:v>
      </x:c>
      <x:c r="M526" s="7" t="n">
        <x:f>IF(J526="","",ROUND(J526*Tariffs!$D$5,2))</x:f>
        <x:v>65.87</x:v>
      </x:c>
      <x:c r="N526" s="7" t="n">
        <x:f>IF(J526="","",ROUND(J526*Tariffs!$D$6,2))</x:f>
        <x:v>65.93</x:v>
      </x:c>
      <x:c r="O526" s="7" t="n">
        <x:f>IF(J526="","",ROUND(J526*Tariffs!$D$7,2))</x:f>
        <x:v>65.99</x:v>
      </x:c>
      <x:c r="P526" s="5" t="str">
        <x:v>https://neuromia.ru/app/video/wan</x:v>
      </x:c>
      <x:c r="Q526" s="8" t="n">
        <x:v>46282.375</x:v>
      </x:c>
      <x:c r="R526" s="5" t="str">
        <x:v>Длительность взята из исходного видео. Для 6 и 12 с наблюдались ставки 6,6/10,45/13,75 кр/с по качеству.</x:v>
      </x:c>
    </x:row>
    <x:row r="527" ht="22" customHeight="1">
      <x:c r="A527" s="5" t="str">
        <x:v>Видео</x:v>
      </x:c>
      <x:c r="B527" s="5" t="str">
        <x:v>Wan 2.2 Animate</x:v>
      </x:c>
      <x:c r="C527" s="5" t="str">
        <x:v>Фото + видео → анимация</x:v>
      </x:c>
      <x:c r="D527" s="5" t="str">
        <x:v>580p</x:v>
      </x:c>
      <x:c r="E527" s="5" t="str">
        <x:v>—</x:v>
      </x:c>
      <x:c r="F527" s="5" t="str">
        <x:v>без видео движения</x:v>
      </x:c>
      <x:c r="G527" s="5" t="str">
        <x:v>—</x:v>
      </x:c>
      <x:c r="H527" s="5" t="str">
        <x:v>Исходные фото и видео обязательны</x:v>
      </x:c>
      <x:c r="I527" s="6" t="n">
        <x:v>52.25</x:v>
      </x:c>
      <x:c r="J527" s="6"/>
      <x:c r="K527" s="5" t="str">
        <x:v>До загрузки файла</x:v>
      </x:c>
      <x:c r="L527" s="5" t="str">
        <x:v>видео</x:v>
      </x:c>
      <x:c r="M527" s="7" t="str">
        <x:f>IF(J527="","",ROUND(J527*Tariffs!$D$5,2))</x:f>
      </x:c>
      <x:c r="N527" s="7" t="str">
        <x:f>IF(J527="","",ROUND(J527*Tariffs!$D$6,2))</x:f>
      </x:c>
      <x:c r="O527" s="7" t="str">
        <x:f>IF(J527="","",ROUND(J527*Tariffs!$D$7,2))</x:f>
      </x:c>
      <x:c r="P527" s="5" t="str">
        <x:v>https://neuromia.ru/app/video/wan</x:v>
      </x:c>
      <x:c r="Q527" s="8" t="n">
        <x:v>46282.375</x:v>
      </x:c>
      <x:c r="R527" s="5" t="str">
        <x:v>Стартовая сумма соответствует 5 с, но файл не загружен.</x:v>
      </x:c>
    </x:row>
    <x:row r="528" ht="22" customHeight="1">
      <x:c r="A528" s="5" t="str">
        <x:v>Видео</x:v>
      </x:c>
      <x:c r="B528" s="5" t="str">
        <x:v>Wan 2.2 Animate</x:v>
      </x:c>
      <x:c r="C528" s="5" t="str">
        <x:v>Фото + видео → анимация</x:v>
      </x:c>
      <x:c r="D528" s="5" t="str">
        <x:v>580p</x:v>
      </x:c>
      <x:c r="E528" s="5" t="str">
        <x:v>—</x:v>
      </x:c>
      <x:c r="F528" s="5" t="n">
        <x:v>6</x:v>
      </x:c>
      <x:c r="G528" s="5" t="str">
        <x:v>—</x:v>
      </x:c>
      <x:c r="H528" s="5" t="str">
        <x:v>Синтетическое фото и видео H.264 загружены</x:v>
      </x:c>
      <x:c r="I528" s="6" t="n">
        <x:v>62.7</x:v>
      </x:c>
      <x:c r="J528" s="6" t="n">
        <x:v>62.7</x:v>
      </x:c>
      <x:c r="K528" s="5" t="str">
        <x:v>Точная цена в редакторе</x:v>
      </x:c>
      <x:c r="L528" s="5" t="str">
        <x:v>видео</x:v>
      </x:c>
      <x:c r="M528" s="7" t="n">
        <x:f>IF(J528="","",ROUND(J528*Tariffs!$D$5,2))</x:f>
        <x:v>52.15</x:v>
      </x:c>
      <x:c r="N528" s="7" t="n">
        <x:f>IF(J528="","",ROUND(J528*Tariffs!$D$6,2))</x:f>
        <x:v>52.2</x:v>
      </x:c>
      <x:c r="O528" s="7" t="n">
        <x:f>IF(J528="","",ROUND(J528*Tariffs!$D$7,2))</x:f>
        <x:v>52.24</x:v>
      </x:c>
      <x:c r="P528" s="5" t="str">
        <x:v>https://neuromia.ru/app/video/wan</x:v>
      </x:c>
      <x:c r="Q528" s="8" t="n">
        <x:v>46282.375</x:v>
      </x:c>
      <x:c r="R528" s="5" t="str">
        <x:v>Длительность взята из исходного видео. Для 6 и 12 с наблюдались ставки 6,6/10,45/13,75 кр/с по качеству.</x:v>
      </x:c>
    </x:row>
    <x:row r="529" ht="22" customHeight="1">
      <x:c r="A529" s="5" t="str">
        <x:v>Видео</x:v>
      </x:c>
      <x:c r="B529" s="5" t="str">
        <x:v>Wan 2.2 Animate</x:v>
      </x:c>
      <x:c r="C529" s="5" t="str">
        <x:v>Фото + видео → анимация</x:v>
      </x:c>
      <x:c r="D529" s="5" t="str">
        <x:v>580p</x:v>
      </x:c>
      <x:c r="E529" s="5" t="str">
        <x:v>—</x:v>
      </x:c>
      <x:c r="F529" s="5" t="n">
        <x:v>12</x:v>
      </x:c>
      <x:c r="G529" s="5" t="str">
        <x:v>—</x:v>
      </x:c>
      <x:c r="H529" s="5" t="str">
        <x:v>Синтетическое фото и видео H.264 загружены</x:v>
      </x:c>
      <x:c r="I529" s="6" t="n">
        <x:v>125.4</x:v>
      </x:c>
      <x:c r="J529" s="6" t="n">
        <x:v>125.4</x:v>
      </x:c>
      <x:c r="K529" s="5" t="str">
        <x:v>Точная цена в редакторе</x:v>
      </x:c>
      <x:c r="L529" s="5" t="str">
        <x:v>видео</x:v>
      </x:c>
      <x:c r="M529" s="7" t="n">
        <x:f>IF(J529="","",ROUND(J529*Tariffs!$D$5,2))</x:f>
        <x:v>104.29</x:v>
      </x:c>
      <x:c r="N529" s="7" t="n">
        <x:f>IF(J529="","",ROUND(J529*Tariffs!$D$6,2))</x:f>
        <x:v>104.4</x:v>
      </x:c>
      <x:c r="O529" s="7" t="n">
        <x:f>IF(J529="","",ROUND(J529*Tariffs!$D$7,2))</x:f>
        <x:v>104.48</x:v>
      </x:c>
      <x:c r="P529" s="5" t="str">
        <x:v>https://neuromia.ru/app/video/wan</x:v>
      </x:c>
      <x:c r="Q529" s="8" t="n">
        <x:v>46282.375</x:v>
      </x:c>
      <x:c r="R529" s="5" t="str">
        <x:v>Длительность взята из исходного видео. Для 6 и 12 с наблюдались ставки 6,6/10,45/13,75 кр/с по качеству.</x:v>
      </x:c>
    </x:row>
    <x:row r="530" ht="22" customHeight="1">
      <x:c r="A530" s="5" t="str">
        <x:v>Видео</x:v>
      </x:c>
      <x:c r="B530" s="5" t="str">
        <x:v>Wan 2.2 Animate</x:v>
      </x:c>
      <x:c r="C530" s="5" t="str">
        <x:v>Фото + видео → анимация</x:v>
      </x:c>
      <x:c r="D530" s="5" t="str">
        <x:v>720p</x:v>
      </x:c>
      <x:c r="E530" s="5" t="str">
        <x:v>—</x:v>
      </x:c>
      <x:c r="F530" s="5" t="str">
        <x:v>без видео движения</x:v>
      </x:c>
      <x:c r="G530" s="5" t="str">
        <x:v>—</x:v>
      </x:c>
      <x:c r="H530" s="5" t="str">
        <x:v>Исходные фото и видео обязательны</x:v>
      </x:c>
      <x:c r="I530" s="6" t="n">
        <x:v>68.75</x:v>
      </x:c>
      <x:c r="J530" s="6"/>
      <x:c r="K530" s="5" t="str">
        <x:v>До загрузки файла</x:v>
      </x:c>
      <x:c r="L530" s="5" t="str">
        <x:v>видео</x:v>
      </x:c>
      <x:c r="M530" s="7" t="str">
        <x:f>IF(J530="","",ROUND(J530*Tariffs!$D$5,2))</x:f>
      </x:c>
      <x:c r="N530" s="7" t="str">
        <x:f>IF(J530="","",ROUND(J530*Tariffs!$D$6,2))</x:f>
      </x:c>
      <x:c r="O530" s="7" t="str">
        <x:f>IF(J530="","",ROUND(J530*Tariffs!$D$7,2))</x:f>
      </x:c>
      <x:c r="P530" s="5" t="str">
        <x:v>https://neuromia.ru/app/video/wan</x:v>
      </x:c>
      <x:c r="Q530" s="8" t="n">
        <x:v>46282.375</x:v>
      </x:c>
      <x:c r="R530" s="5" t="str">
        <x:v>Стартовая сумма соответствует 5 с, но файл не загружен.</x:v>
      </x:c>
    </x:row>
    <x:row r="531" ht="22" customHeight="1">
      <x:c r="A531" s="5" t="str">
        <x:v>Видео</x:v>
      </x:c>
      <x:c r="B531" s="5" t="str">
        <x:v>Wan 2.2 Animate</x:v>
      </x:c>
      <x:c r="C531" s="5" t="str">
        <x:v>Фото + видео → анимация</x:v>
      </x:c>
      <x:c r="D531" s="5" t="str">
        <x:v>720p</x:v>
      </x:c>
      <x:c r="E531" s="5" t="str">
        <x:v>—</x:v>
      </x:c>
      <x:c r="F531" s="5" t="n">
        <x:v>6</x:v>
      </x:c>
      <x:c r="G531" s="5" t="str">
        <x:v>—</x:v>
      </x:c>
      <x:c r="H531" s="5" t="str">
        <x:v>Синтетическое фото и видео H.264 загружены</x:v>
      </x:c>
      <x:c r="I531" s="6" t="n">
        <x:v>82.5</x:v>
      </x:c>
      <x:c r="J531" s="6" t="n">
        <x:v>82.5</x:v>
      </x:c>
      <x:c r="K531" s="5" t="str">
        <x:v>Точная цена в редакторе</x:v>
      </x:c>
      <x:c r="L531" s="5" t="str">
        <x:v>видео</x:v>
      </x:c>
      <x:c r="M531" s="7" t="n">
        <x:f>IF(J531="","",ROUND(J531*Tariffs!$D$5,2))</x:f>
        <x:v>68.61</x:v>
      </x:c>
      <x:c r="N531" s="7" t="n">
        <x:f>IF(J531="","",ROUND(J531*Tariffs!$D$6,2))</x:f>
        <x:v>68.68</x:v>
      </x:c>
      <x:c r="O531" s="7" t="n">
        <x:f>IF(J531="","",ROUND(J531*Tariffs!$D$7,2))</x:f>
        <x:v>68.74</x:v>
      </x:c>
      <x:c r="P531" s="5" t="str">
        <x:v>https://neuromia.ru/app/video/wan</x:v>
      </x:c>
      <x:c r="Q531" s="8" t="n">
        <x:v>46282.375</x:v>
      </x:c>
      <x:c r="R531" s="5" t="str">
        <x:v>Длительность взята из исходного видео. Для 6 и 12 с наблюдались ставки 6,6/10,45/13,75 кр/с по качеству.</x:v>
      </x:c>
    </x:row>
    <x:row r="532" ht="22" customHeight="1">
      <x:c r="A532" s="5" t="str">
        <x:v>Видео</x:v>
      </x:c>
      <x:c r="B532" s="5" t="str">
        <x:v>Wan 2.2 Animate</x:v>
      </x:c>
      <x:c r="C532" s="5" t="str">
        <x:v>Фото + видео → анимация</x:v>
      </x:c>
      <x:c r="D532" s="5" t="str">
        <x:v>720p</x:v>
      </x:c>
      <x:c r="E532" s="5" t="str">
        <x:v>—</x:v>
      </x:c>
      <x:c r="F532" s="5" t="n">
        <x:v>12</x:v>
      </x:c>
      <x:c r="G532" s="5" t="str">
        <x:v>—</x:v>
      </x:c>
      <x:c r="H532" s="5" t="str">
        <x:v>Синтетическое фото и видео H.264 загружены</x:v>
      </x:c>
      <x:c r="I532" s="6" t="n">
        <x:v>165</x:v>
      </x:c>
      <x:c r="J532" s="6" t="n">
        <x:v>165</x:v>
      </x:c>
      <x:c r="K532" s="5" t="str">
        <x:v>Точная цена в редакторе</x:v>
      </x:c>
      <x:c r="L532" s="5" t="str">
        <x:v>видео</x:v>
      </x:c>
      <x:c r="M532" s="7" t="n">
        <x:f>IF(J532="","",ROUND(J532*Tariffs!$D$5,2))</x:f>
        <x:v>137.23</x:v>
      </x:c>
      <x:c r="N532" s="7" t="n">
        <x:f>IF(J532="","",ROUND(J532*Tariffs!$D$6,2))</x:f>
        <x:v>137.36</x:v>
      </x:c>
      <x:c r="O532" s="7" t="n">
        <x:f>IF(J532="","",ROUND(J532*Tariffs!$D$7,2))</x:f>
        <x:v>137.47</x:v>
      </x:c>
      <x:c r="P532" s="5" t="str">
        <x:v>https://neuromia.ru/app/video/wan</x:v>
      </x:c>
      <x:c r="Q532" s="8" t="n">
        <x:v>46282.375</x:v>
      </x:c>
      <x:c r="R532" s="5" t="str">
        <x:v>Длительность взята из исходного видео. Для 6 и 12 с наблюдались ставки 6,6/10,45/13,75 кр/с по качеству.</x:v>
      </x:c>
    </x:row>
    <x:row r="533" ht="22" customHeight="1">
      <x:c r="A533" s="5" t="str">
        <x:v>Видео</x:v>
      </x:c>
      <x:c r="B533" s="5" t="str">
        <x:v>Wan 2.2 Speech</x:v>
      </x:c>
      <x:c r="C533" s="5" t="str">
        <x:v>Фото + аудио → видео</x:v>
      </x:c>
      <x:c r="D533" s="5" t="str">
        <x:v>480p</x:v>
      </x:c>
      <x:c r="E533" s="5" t="str">
        <x:v>—</x:v>
      </x:c>
      <x:c r="F533" s="5" t="str">
        <x:v>без аудио</x:v>
      </x:c>
      <x:c r="G533" s="5" t="str">
        <x:v>включен</x:v>
      </x:c>
      <x:c r="H533" s="5" t="str">
        <x:v>Исходные фото и аудио обязательны</x:v>
      </x:c>
      <x:c r="I533" s="6" t="n">
        <x:v>66</x:v>
      </x:c>
      <x:c r="J533" s="6"/>
      <x:c r="K533" s="5" t="str">
        <x:v>До загрузки файла</x:v>
      </x:c>
      <x:c r="L533" s="5" t="str">
        <x:v>видео</x:v>
      </x:c>
      <x:c r="M533" s="7" t="str">
        <x:f>IF(J533="","",ROUND(J533*Tariffs!$D$5,2))</x:f>
      </x:c>
      <x:c r="N533" s="7" t="str">
        <x:f>IF(J533="","",ROUND(J533*Tariffs!$D$6,2))</x:f>
      </x:c>
      <x:c r="O533" s="7" t="str">
        <x:f>IF(J533="","",ROUND(J533*Tariffs!$D$7,2))</x:f>
      </x:c>
      <x:c r="P533" s="5" t="str">
        <x:v>https://neuromia.ru/app/video/wan</x:v>
      </x:c>
      <x:c r="Q533" s="8" t="n">
        <x:v>46282.375</x:v>
      </x:c>
      <x:c r="R533" s="5" t="str">
        <x:v>До аудио показывается цена за 5 с; итог зависит от длины файла.</x:v>
      </x:c>
    </x:row>
    <x:row r="534" ht="22" customHeight="1">
      <x:c r="A534" s="5" t="str">
        <x:v>Видео</x:v>
      </x:c>
      <x:c r="B534" s="5" t="str">
        <x:v>Wan 2.2 Speech</x:v>
      </x:c>
      <x:c r="C534" s="5" t="str">
        <x:v>Фото + аудио → видео</x:v>
      </x:c>
      <x:c r="D534" s="5" t="str">
        <x:v>480p</x:v>
      </x:c>
      <x:c r="E534" s="5" t="str">
        <x:v>—</x:v>
      </x:c>
      <x:c r="F534" s="5" t="str">
        <x:v>без аудио</x:v>
      </x:c>
      <x:c r="G534" s="5" t="str">
        <x:v>выключен</x:v>
      </x:c>
      <x:c r="H534" s="5" t="str">
        <x:v>Исходные фото и аудио обязательны</x:v>
      </x:c>
      <x:c r="I534" s="6" t="n">
        <x:v>66</x:v>
      </x:c>
      <x:c r="J534" s="6"/>
      <x:c r="K534" s="5" t="str">
        <x:v>До загрузки файла</x:v>
      </x:c>
      <x:c r="L534" s="5" t="str">
        <x:v>видео</x:v>
      </x:c>
      <x:c r="M534" s="7" t="str">
        <x:f>IF(J534="","",ROUND(J534*Tariffs!$D$5,2))</x:f>
      </x:c>
      <x:c r="N534" s="7" t="str">
        <x:f>IF(J534="","",ROUND(J534*Tariffs!$D$6,2))</x:f>
      </x:c>
      <x:c r="O534" s="7" t="str">
        <x:f>IF(J534="","",ROUND(J534*Tariffs!$D$7,2))</x:f>
      </x:c>
      <x:c r="P534" s="5" t="str">
        <x:v>https://neuromia.ru/app/video/wan</x:v>
      </x:c>
      <x:c r="Q534" s="8" t="n">
        <x:v>46282.375</x:v>
      </x:c>
      <x:c r="R534" s="5" t="str">
        <x:v>До аудио показывается цена за 5 с; итог зависит от длины файла.</x:v>
      </x:c>
    </x:row>
    <x:row r="535" ht="22" customHeight="1">
      <x:c r="A535" s="5" t="str">
        <x:v>Видео</x:v>
      </x:c>
      <x:c r="B535" s="5" t="str">
        <x:v>Wan 2.2 Speech</x:v>
      </x:c>
      <x:c r="C535" s="5" t="str">
        <x:v>Фото + аудио → видео</x:v>
      </x:c>
      <x:c r="D535" s="5" t="str">
        <x:v>480p</x:v>
      </x:c>
      <x:c r="E535" s="5" t="str">
        <x:v>—</x:v>
      </x:c>
      <x:c r="F535" s="5" t="n">
        <x:v>2</x:v>
      </x:c>
      <x:c r="G535" s="5" t="str">
        <x:v>выключен</x:v>
      </x:c>
      <x:c r="H535" s="5" t="str">
        <x:v>Синтетические тестовые фото и аудио</x:v>
      </x:c>
      <x:c r="I535" s="6" t="n">
        <x:v>26.4</x:v>
      </x:c>
      <x:c r="J535" s="6" t="n">
        <x:v>26.4</x:v>
      </x:c>
      <x:c r="K535" s="5" t="str">
        <x:v>Точная цена в редакторе</x:v>
      </x:c>
      <x:c r="L535" s="5" t="str">
        <x:v>видео</x:v>
      </x:c>
      <x:c r="M535" s="7" t="n">
        <x:f>IF(J535="","",ROUND(J535*Tariffs!$D$5,2))</x:f>
        <x:v>21.96</x:v>
      </x:c>
      <x:c r="N535" s="7" t="n">
        <x:f>IF(J535="","",ROUND(J535*Tariffs!$D$6,2))</x:f>
        <x:v>21.98</x:v>
      </x:c>
      <x:c r="O535" s="7" t="n">
        <x:f>IF(J535="","",ROUND(J535*Tariffs!$D$7,2))</x:f>
        <x:v>22</x:v>
      </x:c>
      <x:c r="P535" s="5" t="str">
        <x:v>https://neuromia.ru/app/video/wan</x:v>
      </x:c>
      <x:c r="Q535" s="8" t="n">
        <x:v>46282.375</x:v>
      </x:c>
      <x:c r="R535" s="5" t="str">
        <x:v>Длительность аудиофайла меняет цену, хотя переключатель «Длительность» показывает 5 с.</x:v>
      </x:c>
    </x:row>
    <x:row r="536" ht="22" customHeight="1">
      <x:c r="A536" s="5" t="str">
        <x:v>Видео</x:v>
      </x:c>
      <x:c r="B536" s="5" t="str">
        <x:v>Wan 2.2 Speech</x:v>
      </x:c>
      <x:c r="C536" s="5" t="str">
        <x:v>Фото + аудио → видео</x:v>
      </x:c>
      <x:c r="D536" s="5" t="str">
        <x:v>480p</x:v>
      </x:c>
      <x:c r="E536" s="5" t="str">
        <x:v>—</x:v>
      </x:c>
      <x:c r="F536" s="5" t="n">
        <x:v>6</x:v>
      </x:c>
      <x:c r="G536" s="5" t="str">
        <x:v>выключен</x:v>
      </x:c>
      <x:c r="H536" s="5" t="str">
        <x:v>Синтетические тестовые фото и аудио</x:v>
      </x:c>
      <x:c r="I536" s="6" t="n">
        <x:v>79.2</x:v>
      </x:c>
      <x:c r="J536" s="6" t="n">
        <x:v>79.2</x:v>
      </x:c>
      <x:c r="K536" s="5" t="str">
        <x:v>Точная цена в редакторе</x:v>
      </x:c>
      <x:c r="L536" s="5" t="str">
        <x:v>видео</x:v>
      </x:c>
      <x:c r="M536" s="7" t="n">
        <x:f>IF(J536="","",ROUND(J536*Tariffs!$D$5,2))</x:f>
        <x:v>65.87</x:v>
      </x:c>
      <x:c r="N536" s="7" t="n">
        <x:f>IF(J536="","",ROUND(J536*Tariffs!$D$6,2))</x:f>
        <x:v>65.93</x:v>
      </x:c>
      <x:c r="O536" s="7" t="n">
        <x:f>IF(J536="","",ROUND(J536*Tariffs!$D$7,2))</x:f>
        <x:v>65.99</x:v>
      </x:c>
      <x:c r="P536" s="5" t="str">
        <x:v>https://neuromia.ru/app/video/wan</x:v>
      </x:c>
      <x:c r="Q536" s="8" t="n">
        <x:v>46282.375</x:v>
      </x:c>
      <x:c r="R536" s="5" t="str">
        <x:v>Длительность аудиофайла меняет цену, хотя переключатель «Длительность» показывает 5 с.</x:v>
      </x:c>
    </x:row>
    <x:row r="537" ht="22" customHeight="1">
      <x:c r="A537" s="5" t="str">
        <x:v>Видео</x:v>
      </x:c>
      <x:c r="B537" s="5" t="str">
        <x:v>Wan 2.2 Speech</x:v>
      </x:c>
      <x:c r="C537" s="5" t="str">
        <x:v>Фото + аудио → видео</x:v>
      </x:c>
      <x:c r="D537" s="5" t="str">
        <x:v>480p</x:v>
      </x:c>
      <x:c r="E537" s="5" t="str">
        <x:v>—</x:v>
      </x:c>
      <x:c r="F537" s="5" t="n">
        <x:v>12</x:v>
      </x:c>
      <x:c r="G537" s="5" t="str">
        <x:v>выключен</x:v>
      </x:c>
      <x:c r="H537" s="5" t="str">
        <x:v>Синтетические тестовые фото и аудио</x:v>
      </x:c>
      <x:c r="I537" s="6" t="n">
        <x:v>158.4</x:v>
      </x:c>
      <x:c r="J537" s="6" t="n">
        <x:v>158.4</x:v>
      </x:c>
      <x:c r="K537" s="5" t="str">
        <x:v>Точная цена в редакторе</x:v>
      </x:c>
      <x:c r="L537" s="5" t="str">
        <x:v>видео</x:v>
      </x:c>
      <x:c r="M537" s="7" t="n">
        <x:f>IF(J537="","",ROUND(J537*Tariffs!$D$5,2))</x:f>
        <x:v>131.74</x:v>
      </x:c>
      <x:c r="N537" s="7" t="n">
        <x:f>IF(J537="","",ROUND(J537*Tariffs!$D$6,2))</x:f>
        <x:v>131.87</x:v>
      </x:c>
      <x:c r="O537" s="7" t="n">
        <x:f>IF(J537="","",ROUND(J537*Tariffs!$D$7,2))</x:f>
        <x:v>131.97</x:v>
      </x:c>
      <x:c r="P537" s="5" t="str">
        <x:v>https://neuromia.ru/app/video/wan</x:v>
      </x:c>
      <x:c r="Q537" s="8" t="n">
        <x:v>46282.375</x:v>
      </x:c>
      <x:c r="R537" s="5" t="str">
        <x:v>Длительность аудиофайла меняет цену, хотя переключатель «Длительность» показывает 5 с.</x:v>
      </x:c>
    </x:row>
    <x:row r="538" ht="22" customHeight="1">
      <x:c r="A538" s="5" t="str">
        <x:v>Видео</x:v>
      </x:c>
      <x:c r="B538" s="5" t="str">
        <x:v>Wan 2.2 Speech</x:v>
      </x:c>
      <x:c r="C538" s="5" t="str">
        <x:v>Фото + аудио → видео</x:v>
      </x:c>
      <x:c r="D538" s="5" t="str">
        <x:v>580p</x:v>
      </x:c>
      <x:c r="E538" s="5" t="str">
        <x:v>—</x:v>
      </x:c>
      <x:c r="F538" s="5" t="str">
        <x:v>без аудио</x:v>
      </x:c>
      <x:c r="G538" s="5" t="str">
        <x:v>включен</x:v>
      </x:c>
      <x:c r="H538" s="5" t="str">
        <x:v>Исходные фото и аудио обязательны</x:v>
      </x:c>
      <x:c r="I538" s="6" t="n">
        <x:v>99</x:v>
      </x:c>
      <x:c r="J538" s="6"/>
      <x:c r="K538" s="5" t="str">
        <x:v>До загрузки файла</x:v>
      </x:c>
      <x:c r="L538" s="5" t="str">
        <x:v>видео</x:v>
      </x:c>
      <x:c r="M538" s="7" t="str">
        <x:f>IF(J538="","",ROUND(J538*Tariffs!$D$5,2))</x:f>
      </x:c>
      <x:c r="N538" s="7" t="str">
        <x:f>IF(J538="","",ROUND(J538*Tariffs!$D$6,2))</x:f>
      </x:c>
      <x:c r="O538" s="7" t="str">
        <x:f>IF(J538="","",ROUND(J538*Tariffs!$D$7,2))</x:f>
      </x:c>
      <x:c r="P538" s="5" t="str">
        <x:v>https://neuromia.ru/app/video/wan</x:v>
      </x:c>
      <x:c r="Q538" s="8" t="n">
        <x:v>46282.375</x:v>
      </x:c>
      <x:c r="R538" s="5" t="str">
        <x:v>До аудио показывается цена за 5 с; итог зависит от длины файла.</x:v>
      </x:c>
    </x:row>
    <x:row r="539" ht="22" customHeight="1">
      <x:c r="A539" s="5" t="str">
        <x:v>Видео</x:v>
      </x:c>
      <x:c r="B539" s="5" t="str">
        <x:v>Wan 2.2 Speech</x:v>
      </x:c>
      <x:c r="C539" s="5" t="str">
        <x:v>Фото + аудио → видео</x:v>
      </x:c>
      <x:c r="D539" s="5" t="str">
        <x:v>580p</x:v>
      </x:c>
      <x:c r="E539" s="5" t="str">
        <x:v>—</x:v>
      </x:c>
      <x:c r="F539" s="5" t="str">
        <x:v>без аудио</x:v>
      </x:c>
      <x:c r="G539" s="5" t="str">
        <x:v>выключен</x:v>
      </x:c>
      <x:c r="H539" s="5" t="str">
        <x:v>Исходные фото и аудио обязательны</x:v>
      </x:c>
      <x:c r="I539" s="6" t="n">
        <x:v>99</x:v>
      </x:c>
      <x:c r="J539" s="6"/>
      <x:c r="K539" s="5" t="str">
        <x:v>До загрузки файла</x:v>
      </x:c>
      <x:c r="L539" s="5" t="str">
        <x:v>видео</x:v>
      </x:c>
      <x:c r="M539" s="7" t="str">
        <x:f>IF(J539="","",ROUND(J539*Tariffs!$D$5,2))</x:f>
      </x:c>
      <x:c r="N539" s="7" t="str">
        <x:f>IF(J539="","",ROUND(J539*Tariffs!$D$6,2))</x:f>
      </x:c>
      <x:c r="O539" s="7" t="str">
        <x:f>IF(J539="","",ROUND(J539*Tariffs!$D$7,2))</x:f>
      </x:c>
      <x:c r="P539" s="5" t="str">
        <x:v>https://neuromia.ru/app/video/wan</x:v>
      </x:c>
      <x:c r="Q539" s="8" t="n">
        <x:v>46282.375</x:v>
      </x:c>
      <x:c r="R539" s="5" t="str">
        <x:v>До аудио показывается цена за 5 с; итог зависит от длины файла.</x:v>
      </x:c>
    </x:row>
    <x:row r="540" ht="22" customHeight="1">
      <x:c r="A540" s="5" t="str">
        <x:v>Видео</x:v>
      </x:c>
      <x:c r="B540" s="5" t="str">
        <x:v>Wan 2.2 Speech</x:v>
      </x:c>
      <x:c r="C540" s="5" t="str">
        <x:v>Фото + аудио → видео</x:v>
      </x:c>
      <x:c r="D540" s="5" t="str">
        <x:v>580p</x:v>
      </x:c>
      <x:c r="E540" s="5" t="str">
        <x:v>—</x:v>
      </x:c>
      <x:c r="F540" s="5" t="n">
        <x:v>2</x:v>
      </x:c>
      <x:c r="G540" s="5" t="str">
        <x:v>выключен</x:v>
      </x:c>
      <x:c r="H540" s="5" t="str">
        <x:v>Синтетические тестовые фото и аудио</x:v>
      </x:c>
      <x:c r="I540" s="6" t="n">
        <x:v>39.6</x:v>
      </x:c>
      <x:c r="J540" s="6" t="n">
        <x:v>39.6</x:v>
      </x:c>
      <x:c r="K540" s="5" t="str">
        <x:v>Точная цена в редакторе</x:v>
      </x:c>
      <x:c r="L540" s="5" t="str">
        <x:v>видео</x:v>
      </x:c>
      <x:c r="M540" s="7" t="n">
        <x:f>IF(J540="","",ROUND(J540*Tariffs!$D$5,2))</x:f>
        <x:v>32.93</x:v>
      </x:c>
      <x:c r="N540" s="7" t="n">
        <x:f>IF(J540="","",ROUND(J540*Tariffs!$D$6,2))</x:f>
        <x:v>32.97</x:v>
      </x:c>
      <x:c r="O540" s="7" t="n">
        <x:f>IF(J540="","",ROUND(J540*Tariffs!$D$7,2))</x:f>
        <x:v>32.99</x:v>
      </x:c>
      <x:c r="P540" s="5" t="str">
        <x:v>https://neuromia.ru/app/video/wan</x:v>
      </x:c>
      <x:c r="Q540" s="8" t="n">
        <x:v>46282.375</x:v>
      </x:c>
      <x:c r="R540" s="5" t="str">
        <x:v>Длительность аудиофайла меняет цену, хотя переключатель «Длительность» показывает 5 с.</x:v>
      </x:c>
    </x:row>
    <x:row r="541" ht="22" customHeight="1">
      <x:c r="A541" s="5" t="str">
        <x:v>Видео</x:v>
      </x:c>
      <x:c r="B541" s="5" t="str">
        <x:v>Wan 2.2 Speech</x:v>
      </x:c>
      <x:c r="C541" s="5" t="str">
        <x:v>Фото + аудио → видео</x:v>
      </x:c>
      <x:c r="D541" s="5" t="str">
        <x:v>580p</x:v>
      </x:c>
      <x:c r="E541" s="5" t="str">
        <x:v>—</x:v>
      </x:c>
      <x:c r="F541" s="5" t="n">
        <x:v>6</x:v>
      </x:c>
      <x:c r="G541" s="5" t="str">
        <x:v>выключен</x:v>
      </x:c>
      <x:c r="H541" s="5" t="str">
        <x:v>Синтетические тестовые фото и аудио</x:v>
      </x:c>
      <x:c r="I541" s="6" t="n">
        <x:v>118.8</x:v>
      </x:c>
      <x:c r="J541" s="6" t="n">
        <x:v>118.8</x:v>
      </x:c>
      <x:c r="K541" s="5" t="str">
        <x:v>Точная цена в редакторе</x:v>
      </x:c>
      <x:c r="L541" s="5" t="str">
        <x:v>видео</x:v>
      </x:c>
      <x:c r="M541" s="7" t="n">
        <x:f>IF(J541="","",ROUND(J541*Tariffs!$D$5,2))</x:f>
        <x:v>98.8</x:v>
      </x:c>
      <x:c r="N541" s="7" t="n">
        <x:f>IF(J541="","",ROUND(J541*Tariffs!$D$6,2))</x:f>
        <x:v>98.9</x:v>
      </x:c>
      <x:c r="O541" s="7" t="n">
        <x:f>IF(J541="","",ROUND(J541*Tariffs!$D$7,2))</x:f>
        <x:v>98.98</x:v>
      </x:c>
      <x:c r="P541" s="5" t="str">
        <x:v>https://neuromia.ru/app/video/wan</x:v>
      </x:c>
      <x:c r="Q541" s="8" t="n">
        <x:v>46282.375</x:v>
      </x:c>
      <x:c r="R541" s="5" t="str">
        <x:v>Длительность аудиофайла меняет цену, хотя переключатель «Длительность» показывает 5 с.</x:v>
      </x:c>
    </x:row>
    <x:row r="542" ht="22" customHeight="1">
      <x:c r="A542" s="5" t="str">
        <x:v>Видео</x:v>
      </x:c>
      <x:c r="B542" s="5" t="str">
        <x:v>Wan 2.2 Speech</x:v>
      </x:c>
      <x:c r="C542" s="5" t="str">
        <x:v>Фото + аудио → видео</x:v>
      </x:c>
      <x:c r="D542" s="5" t="str">
        <x:v>580p</x:v>
      </x:c>
      <x:c r="E542" s="5" t="str">
        <x:v>—</x:v>
      </x:c>
      <x:c r="F542" s="5" t="n">
        <x:v>12</x:v>
      </x:c>
      <x:c r="G542" s="5" t="str">
        <x:v>выключен</x:v>
      </x:c>
      <x:c r="H542" s="5" t="str">
        <x:v>Синтетические тестовые фото и аудио</x:v>
      </x:c>
      <x:c r="I542" s="6" t="n">
        <x:v>237.6</x:v>
      </x:c>
      <x:c r="J542" s="6" t="n">
        <x:v>237.6</x:v>
      </x:c>
      <x:c r="K542" s="5" t="str">
        <x:v>Точная цена в редакторе</x:v>
      </x:c>
      <x:c r="L542" s="5" t="str">
        <x:v>видео</x:v>
      </x:c>
      <x:c r="M542" s="7" t="n">
        <x:f>IF(J542="","",ROUND(J542*Tariffs!$D$5,2))</x:f>
        <x:v>197.6</x:v>
      </x:c>
      <x:c r="N542" s="7" t="n">
        <x:f>IF(J542="","",ROUND(J542*Tariffs!$D$6,2))</x:f>
        <x:v>197.8</x:v>
      </x:c>
      <x:c r="O542" s="7" t="n">
        <x:f>IF(J542="","",ROUND(J542*Tariffs!$D$7,2))</x:f>
        <x:v>197.96</x:v>
      </x:c>
      <x:c r="P542" s="5" t="str">
        <x:v>https://neuromia.ru/app/video/wan</x:v>
      </x:c>
      <x:c r="Q542" s="8" t="n">
        <x:v>46282.375</x:v>
      </x:c>
      <x:c r="R542" s="5" t="str">
        <x:v>Длительность аудиофайла меняет цену, хотя переключатель «Длительность» показывает 5 с.</x:v>
      </x:c>
    </x:row>
    <x:row r="543" ht="22" customHeight="1">
      <x:c r="A543" s="5" t="str">
        <x:v>Видео</x:v>
      </x:c>
      <x:c r="B543" s="5" t="str">
        <x:v>Wan 2.2 Speech</x:v>
      </x:c>
      <x:c r="C543" s="5" t="str">
        <x:v>Фото + аудио → видео</x:v>
      </x:c>
      <x:c r="D543" s="5" t="str">
        <x:v>720p</x:v>
      </x:c>
      <x:c r="E543" s="5" t="str">
        <x:v>—</x:v>
      </x:c>
      <x:c r="F543" s="5" t="str">
        <x:v>без аудио</x:v>
      </x:c>
      <x:c r="G543" s="5" t="str">
        <x:v>включен</x:v>
      </x:c>
      <x:c r="H543" s="5" t="str">
        <x:v>Исходные фото и аудио обязательны</x:v>
      </x:c>
      <x:c r="I543" s="6" t="n">
        <x:v>132</x:v>
      </x:c>
      <x:c r="J543" s="6"/>
      <x:c r="K543" s="5" t="str">
        <x:v>До загрузки файла</x:v>
      </x:c>
      <x:c r="L543" s="5" t="str">
        <x:v>видео</x:v>
      </x:c>
      <x:c r="M543" s="7" t="str">
        <x:f>IF(J543="","",ROUND(J543*Tariffs!$D$5,2))</x:f>
      </x:c>
      <x:c r="N543" s="7" t="str">
        <x:f>IF(J543="","",ROUND(J543*Tariffs!$D$6,2))</x:f>
      </x:c>
      <x:c r="O543" s="7" t="str">
        <x:f>IF(J543="","",ROUND(J543*Tariffs!$D$7,2))</x:f>
      </x:c>
      <x:c r="P543" s="5" t="str">
        <x:v>https://neuromia.ru/app/video/wan</x:v>
      </x:c>
      <x:c r="Q543" s="8" t="n">
        <x:v>46282.375</x:v>
      </x:c>
      <x:c r="R543" s="5" t="str">
        <x:v>До аудио показывается цена за 5 с; итог зависит от длины файла.</x:v>
      </x:c>
    </x:row>
    <x:row r="544" ht="22" customHeight="1">
      <x:c r="A544" s="5" t="str">
        <x:v>Видео</x:v>
      </x:c>
      <x:c r="B544" s="5" t="str">
        <x:v>Wan 2.2 Speech</x:v>
      </x:c>
      <x:c r="C544" s="5" t="str">
        <x:v>Фото + аудио → видео</x:v>
      </x:c>
      <x:c r="D544" s="5" t="str">
        <x:v>720p</x:v>
      </x:c>
      <x:c r="E544" s="5" t="str">
        <x:v>—</x:v>
      </x:c>
      <x:c r="F544" s="5" t="str">
        <x:v>без аудио</x:v>
      </x:c>
      <x:c r="G544" s="5" t="str">
        <x:v>выключен</x:v>
      </x:c>
      <x:c r="H544" s="5" t="str">
        <x:v>Исходные фото и аудио обязательны</x:v>
      </x:c>
      <x:c r="I544" s="6" t="n">
        <x:v>132</x:v>
      </x:c>
      <x:c r="J544" s="6"/>
      <x:c r="K544" s="5" t="str">
        <x:v>До загрузки файла</x:v>
      </x:c>
      <x:c r="L544" s="5" t="str">
        <x:v>видео</x:v>
      </x:c>
      <x:c r="M544" s="7" t="str">
        <x:f>IF(J544="","",ROUND(J544*Tariffs!$D$5,2))</x:f>
      </x:c>
      <x:c r="N544" s="7" t="str">
        <x:f>IF(J544="","",ROUND(J544*Tariffs!$D$6,2))</x:f>
      </x:c>
      <x:c r="O544" s="7" t="str">
        <x:f>IF(J544="","",ROUND(J544*Tariffs!$D$7,2))</x:f>
      </x:c>
      <x:c r="P544" s="5" t="str">
        <x:v>https://neuromia.ru/app/video/wan</x:v>
      </x:c>
      <x:c r="Q544" s="8" t="n">
        <x:v>46282.375</x:v>
      </x:c>
      <x:c r="R544" s="5" t="str">
        <x:v>До аудио показывается цена за 5 с; итог зависит от длины файла.</x:v>
      </x:c>
    </x:row>
    <x:row r="545" ht="22" customHeight="1">
      <x:c r="A545" s="5" t="str">
        <x:v>Видео</x:v>
      </x:c>
      <x:c r="B545" s="5" t="str">
        <x:v>Wan 2.2 Speech</x:v>
      </x:c>
      <x:c r="C545" s="5" t="str">
        <x:v>Фото + аудио → видео</x:v>
      </x:c>
      <x:c r="D545" s="5" t="str">
        <x:v>720p</x:v>
      </x:c>
      <x:c r="E545" s="5" t="str">
        <x:v>—</x:v>
      </x:c>
      <x:c r="F545" s="5" t="n">
        <x:v>2</x:v>
      </x:c>
      <x:c r="G545" s="5" t="str">
        <x:v>выключен</x:v>
      </x:c>
      <x:c r="H545" s="5" t="str">
        <x:v>Синтетические тестовые фото и аудио</x:v>
      </x:c>
      <x:c r="I545" s="6" t="n">
        <x:v>52.8</x:v>
      </x:c>
      <x:c r="J545" s="6" t="n">
        <x:v>52.8</x:v>
      </x:c>
      <x:c r="K545" s="5" t="str">
        <x:v>Точная цена в редакторе</x:v>
      </x:c>
      <x:c r="L545" s="5" t="str">
        <x:v>видео</x:v>
      </x:c>
      <x:c r="M545" s="7" t="n">
        <x:f>IF(J545="","",ROUND(J545*Tariffs!$D$5,2))</x:f>
        <x:v>43.91</x:v>
      </x:c>
      <x:c r="N545" s="7" t="n">
        <x:f>IF(J545="","",ROUND(J545*Tariffs!$D$6,2))</x:f>
        <x:v>43.96</x:v>
      </x:c>
      <x:c r="O545" s="7" t="n">
        <x:f>IF(J545="","",ROUND(J545*Tariffs!$D$7,2))</x:f>
        <x:v>43.99</x:v>
      </x:c>
      <x:c r="P545" s="5" t="str">
        <x:v>https://neuromia.ru/app/video/wan</x:v>
      </x:c>
      <x:c r="Q545" s="8" t="n">
        <x:v>46282.375</x:v>
      </x:c>
      <x:c r="R545" s="5" t="str">
        <x:v>Длительность аудиофайла меняет цену, хотя переключатель «Длительность» показывает 5 с.</x:v>
      </x:c>
    </x:row>
    <x:row r="546" ht="22" customHeight="1">
      <x:c r="A546" s="5" t="str">
        <x:v>Видео</x:v>
      </x:c>
      <x:c r="B546" s="5" t="str">
        <x:v>Wan 2.2 Speech</x:v>
      </x:c>
      <x:c r="C546" s="5" t="str">
        <x:v>Фото + аудио → видео</x:v>
      </x:c>
      <x:c r="D546" s="5" t="str">
        <x:v>720p</x:v>
      </x:c>
      <x:c r="E546" s="5" t="str">
        <x:v>—</x:v>
      </x:c>
      <x:c r="F546" s="5" t="n">
        <x:v>6</x:v>
      </x:c>
      <x:c r="G546" s="5" t="str">
        <x:v>выключен</x:v>
      </x:c>
      <x:c r="H546" s="5" t="str">
        <x:v>Синтетические тестовые фото и аудио</x:v>
      </x:c>
      <x:c r="I546" s="6" t="n">
        <x:v>158.4</x:v>
      </x:c>
      <x:c r="J546" s="6" t="n">
        <x:v>158.4</x:v>
      </x:c>
      <x:c r="K546" s="5" t="str">
        <x:v>Точная цена в редакторе</x:v>
      </x:c>
      <x:c r="L546" s="5" t="str">
        <x:v>видео</x:v>
      </x:c>
      <x:c r="M546" s="7" t="n">
        <x:f>IF(J546="","",ROUND(J546*Tariffs!$D$5,2))</x:f>
        <x:v>131.74</x:v>
      </x:c>
      <x:c r="N546" s="7" t="n">
        <x:f>IF(J546="","",ROUND(J546*Tariffs!$D$6,2))</x:f>
        <x:v>131.87</x:v>
      </x:c>
      <x:c r="O546" s="7" t="n">
        <x:f>IF(J546="","",ROUND(J546*Tariffs!$D$7,2))</x:f>
        <x:v>131.97</x:v>
      </x:c>
      <x:c r="P546" s="5" t="str">
        <x:v>https://neuromia.ru/app/video/wan</x:v>
      </x:c>
      <x:c r="Q546" s="8" t="n">
        <x:v>46282.375</x:v>
      </x:c>
      <x:c r="R546" s="5" t="str">
        <x:v>Длительность аудиофайла меняет цену, хотя переключатель «Длительность» показывает 5 с.</x:v>
      </x:c>
    </x:row>
    <x:row r="547" ht="22" customHeight="1">
      <x:c r="A547" s="5" t="str">
        <x:v>Видео</x:v>
      </x:c>
      <x:c r="B547" s="5" t="str">
        <x:v>Wan 2.2 Speech</x:v>
      </x:c>
      <x:c r="C547" s="5" t="str">
        <x:v>Фото + аудио → видео</x:v>
      </x:c>
      <x:c r="D547" s="5" t="str">
        <x:v>720p</x:v>
      </x:c>
      <x:c r="E547" s="5" t="str">
        <x:v>—</x:v>
      </x:c>
      <x:c r="F547" s="5" t="n">
        <x:v>12</x:v>
      </x:c>
      <x:c r="G547" s="5" t="str">
        <x:v>выключен</x:v>
      </x:c>
      <x:c r="H547" s="5" t="str">
        <x:v>Синтетические тестовые фото и аудио</x:v>
      </x:c>
      <x:c r="I547" s="6" t="n">
        <x:v>316.8</x:v>
      </x:c>
      <x:c r="J547" s="6" t="n">
        <x:v>316.8</x:v>
      </x:c>
      <x:c r="K547" s="5" t="str">
        <x:v>Точная цена в редакторе</x:v>
      </x:c>
      <x:c r="L547" s="5" t="str">
        <x:v>видео</x:v>
      </x:c>
      <x:c r="M547" s="7" t="n">
        <x:f>IF(J547="","",ROUND(J547*Tariffs!$D$5,2))</x:f>
        <x:v>263.47</x:v>
      </x:c>
      <x:c r="N547" s="7" t="n">
        <x:f>IF(J547="","",ROUND(J547*Tariffs!$D$6,2))</x:f>
        <x:v>263.74</x:v>
      </x:c>
      <x:c r="O547" s="7" t="n">
        <x:f>IF(J547="","",ROUND(J547*Tariffs!$D$7,2))</x:f>
        <x:v>263.95</x:v>
      </x:c>
      <x:c r="P547" s="5" t="str">
        <x:v>https://neuromia.ru/app/video/wan</x:v>
      </x:c>
      <x:c r="Q547" s="8" t="n">
        <x:v>46282.375</x:v>
      </x:c>
      <x:c r="R547" s="5" t="str">
        <x:v>Длительность аудиофайла меняет цену, хотя переключатель «Длительность» показывает 5 с.</x:v>
      </x:c>
    </x:row>
    <x:row r="548" ht="22" customHeight="1">
      <x:c r="A548" s="5" t="str">
        <x:v>Видео</x:v>
      </x:c>
      <x:c r="B548" s="5" t="str">
        <x:v>Wan 2.2 Speech</x:v>
      </x:c>
      <x:c r="C548" s="5" t="str">
        <x:v>Фото + аудио → видео</x:v>
      </x:c>
      <x:c r="D548" s="5" t="str">
        <x:v>720p</x:v>
      </x:c>
      <x:c r="E548" s="5" t="str">
        <x:v>—</x:v>
      </x:c>
      <x:c r="F548" s="5" t="n">
        <x:v>12</x:v>
      </x:c>
      <x:c r="G548" s="5" t="str">
        <x:v>включен</x:v>
      </x:c>
      <x:c r="H548" s="5" t="str">
        <x:v>Синтетические тестовые фото и аудио</x:v>
      </x:c>
      <x:c r="I548" s="6" t="n">
        <x:v>316.8</x:v>
      </x:c>
      <x:c r="J548" s="6" t="n">
        <x:v>316.8</x:v>
      </x:c>
      <x:c r="K548" s="5" t="str">
        <x:v>Точная цена в редакторе</x:v>
      </x:c>
      <x:c r="L548" s="5" t="str">
        <x:v>видео</x:v>
      </x:c>
      <x:c r="M548" s="7" t="n">
        <x:f>IF(J548="","",ROUND(J548*Tariffs!$D$5,2))</x:f>
        <x:v>263.47</x:v>
      </x:c>
      <x:c r="N548" s="7" t="n">
        <x:f>IF(J548="","",ROUND(J548*Tariffs!$D$6,2))</x:f>
        <x:v>263.74</x:v>
      </x:c>
      <x:c r="O548" s="7" t="n">
        <x:f>IF(J548="","",ROUND(J548*Tariffs!$D$7,2))</x:f>
        <x:v>263.95</x:v>
      </x:c>
      <x:c r="P548" s="5" t="str">
        <x:v>https://neuromia.ru/app/video/wan</x:v>
      </x:c>
      <x:c r="Q548" s="8" t="n">
        <x:v>46282.375</x:v>
      </x:c>
      <x:c r="R548" s="5" t="str">
        <x:v>При 720p/12 с переключение звука цену не изменило.</x:v>
      </x:c>
    </x:row>
    <x:row r="549" ht="22" customHeight="1">
      <x:c r="A549" s="5" t="str">
        <x:v>Видео</x:v>
      </x:c>
      <x:c r="B549" s="5" t="str">
        <x:v>Runway Gen 4</x:v>
      </x:c>
      <x:c r="C549" s="5" t="str">
        <x:v>Текст → видео</x:v>
      </x:c>
      <x:c r="D549" s="5" t="str">
        <x:v>720p</x:v>
      </x:c>
      <x:c r="E549" s="5" t="str">
        <x:v>—</x:v>
      </x:c>
      <x:c r="F549" s="5" t="n">
        <x:v>5</x:v>
      </x:c>
      <x:c r="G549" s="5" t="str">
        <x:v>—</x:v>
      </x:c>
      <x:c r="H549" s="5" t="str">
        <x:v>Без исходного файла</x:v>
      </x:c>
      <x:c r="I549" s="6" t="n">
        <x:v>13.2</x:v>
      </x:c>
      <x:c r="J549" s="6" t="n">
        <x:v>13.2</x:v>
      </x:c>
      <x:c r="K549" s="5" t="str">
        <x:v>Точная цена в редакторе</x:v>
      </x:c>
      <x:c r="L549" s="5" t="str">
        <x:v>видео</x:v>
      </x:c>
      <x:c r="M549" s="7" t="n">
        <x:f>IF(J549="","",ROUND(J549*Tariffs!$D$5,2))</x:f>
        <x:v>10.98</x:v>
      </x:c>
      <x:c r="N549" s="7" t="n">
        <x:f>IF(J549="","",ROUND(J549*Tariffs!$D$6,2))</x:f>
        <x:v>10.99</x:v>
      </x:c>
      <x:c r="O549" s="7" t="n">
        <x:f>IF(J549="","",ROUND(J549*Tariffs!$D$7,2))</x:f>
        <x:v>11</x:v>
      </x:c>
      <x:c r="P549" s="5" t="str">
        <x:v>https://neuromia.ru/app/video/runway</x:v>
      </x:c>
      <x:c r="Q549" s="8" t="n">
        <x:v>46282.375</x:v>
      </x:c>
      <x:c r="R549" s="5" t="str"/>
    </x:row>
    <x:row r="550" ht="22" customHeight="1">
      <x:c r="A550" s="5" t="str">
        <x:v>Видео</x:v>
      </x:c>
      <x:c r="B550" s="5" t="str">
        <x:v>Runway Gen 4</x:v>
      </x:c>
      <x:c r="C550" s="5" t="str">
        <x:v>Текст → видео</x:v>
      </x:c>
      <x:c r="D550" s="5" t="str">
        <x:v>720p</x:v>
      </x:c>
      <x:c r="E550" s="5" t="str">
        <x:v>—</x:v>
      </x:c>
      <x:c r="F550" s="5" t="n">
        <x:v>10</x:v>
      </x:c>
      <x:c r="G550" s="5" t="str">
        <x:v>—</x:v>
      </x:c>
      <x:c r="H550" s="5" t="str">
        <x:v>Без исходного файла</x:v>
      </x:c>
      <x:c r="I550" s="6" t="n">
        <x:v>33</x:v>
      </x:c>
      <x:c r="J550" s="6" t="n">
        <x:v>33</x:v>
      </x:c>
      <x:c r="K550" s="5" t="str">
        <x:v>Точная цена в редакторе</x:v>
      </x:c>
      <x:c r="L550" s="5" t="str">
        <x:v>видео</x:v>
      </x:c>
      <x:c r="M550" s="7" t="n">
        <x:f>IF(J550="","",ROUND(J550*Tariffs!$D$5,2))</x:f>
        <x:v>27.45</x:v>
      </x:c>
      <x:c r="N550" s="7" t="n">
        <x:f>IF(J550="","",ROUND(J550*Tariffs!$D$6,2))</x:f>
        <x:v>27.47</x:v>
      </x:c>
      <x:c r="O550" s="7" t="n">
        <x:f>IF(J550="","",ROUND(J550*Tariffs!$D$7,2))</x:f>
        <x:v>27.49</x:v>
      </x:c>
      <x:c r="P550" s="5" t="str">
        <x:v>https://neuromia.ru/app/video/runway</x:v>
      </x:c>
      <x:c r="Q550" s="8" t="n">
        <x:v>46282.375</x:v>
      </x:c>
      <x:c r="R550" s="5" t="str"/>
    </x:row>
    <x:row r="551" ht="22" customHeight="1">
      <x:c r="A551" s="5" t="str">
        <x:v>Видео</x:v>
      </x:c>
      <x:c r="B551" s="5" t="str">
        <x:v>Runway Gen 4</x:v>
      </x:c>
      <x:c r="C551" s="5" t="str">
        <x:v>Текст → видео</x:v>
      </x:c>
      <x:c r="D551" s="5" t="str">
        <x:v>1080p</x:v>
      </x:c>
      <x:c r="E551" s="5" t="str">
        <x:v>—</x:v>
      </x:c>
      <x:c r="F551" s="5" t="n">
        <x:v>5</x:v>
      </x:c>
      <x:c r="G551" s="5" t="str">
        <x:v>—</x:v>
      </x:c>
      <x:c r="H551" s="5" t="str">
        <x:v>Без исходного файла</x:v>
      </x:c>
      <x:c r="I551" s="6" t="n">
        <x:v>33</x:v>
      </x:c>
      <x:c r="J551" s="6" t="n">
        <x:v>33</x:v>
      </x:c>
      <x:c r="K551" s="5" t="str">
        <x:v>Точная цена в редакторе</x:v>
      </x:c>
      <x:c r="L551" s="5" t="str">
        <x:v>видео</x:v>
      </x:c>
      <x:c r="M551" s="7" t="n">
        <x:f>IF(J551="","",ROUND(J551*Tariffs!$D$5,2))</x:f>
        <x:v>27.45</x:v>
      </x:c>
      <x:c r="N551" s="7" t="n">
        <x:f>IF(J551="","",ROUND(J551*Tariffs!$D$6,2))</x:f>
        <x:v>27.47</x:v>
      </x:c>
      <x:c r="O551" s="7" t="n">
        <x:f>IF(J551="","",ROUND(J551*Tariffs!$D$7,2))</x:f>
        <x:v>27.49</x:v>
      </x:c>
      <x:c r="P551" s="5" t="str">
        <x:v>https://neuromia.ru/app/video/runway</x:v>
      </x:c>
      <x:c r="Q551" s="8" t="n">
        <x:v>46282.375</x:v>
      </x:c>
      <x:c r="R551" s="5" t="str"/>
    </x:row>
    <x:row r="552" ht="22" customHeight="1">
      <x:c r="A552" s="5" t="str">
        <x:v>Видео</x:v>
      </x:c>
      <x:c r="B552" s="5" t="str">
        <x:v>Runway Aleph</x:v>
      </x:c>
      <x:c r="C552" s="5" t="str">
        <x:v>Видео → видео</x:v>
      </x:c>
      <x:c r="D552" s="5" t="str">
        <x:v>—</x:v>
      </x:c>
      <x:c r="E552" s="5" t="str">
        <x:v>—</x:v>
      </x:c>
      <x:c r="F552" s="5" t="str">
        <x:v>12 с тестовый файл</x:v>
      </x:c>
      <x:c r="G552" s="5" t="str">
        <x:v>—</x:v>
      </x:c>
      <x:c r="H552" s="5" t="str">
        <x:v>Синтетическое видео H.264 загружено</x:v>
      </x:c>
      <x:c r="I552" s="6" t="n">
        <x:v>121</x:v>
      </x:c>
      <x:c r="J552" s="6"/>
      <x:c r="K552" s="5" t="str">
        <x:v>Дополнительный файл требуется</x:v>
      </x:c>
      <x:c r="L552" s="5" t="str">
        <x:v>видео</x:v>
      </x:c>
      <x:c r="M552" s="7" t="str">
        <x:f>IF(J552="","",ROUND(J552*Tariffs!$D$5,2))</x:f>
      </x:c>
      <x:c r="N552" s="7" t="str">
        <x:f>IF(J552="","",ROUND(J552*Tariffs!$D$6,2))</x:f>
      </x:c>
      <x:c r="O552" s="7" t="str">
        <x:f>IF(J552="","",ROUND(J552*Tariffs!$D$7,2))</x:f>
      </x:c>
      <x:c r="P552" s="5" t="str">
        <x:v>https://neuromia.ru/app/video/aleph</x:v>
      </x:c>
      <x:c r="Q552" s="8" t="n">
        <x:v>46282.375</x:v>
      </x:c>
      <x:c r="R552" s="5" t="str">
        <x:v>После загрузки видео редактор по-прежнему пишет «Загрузите изображение» и не даёт запустить; отдельного поля изображения нет.</x:v>
      </x:c>
    </x:row>
    <x:row r="553" ht="22" customHeight="1">
      <x:c r="A553" s="5" t="str">
        <x:v>Видео</x:v>
      </x:c>
      <x:c r="B553" s="5" t="str">
        <x:v>Grok Imagine</x:v>
      </x:c>
      <x:c r="C553" s="5" t="str">
        <x:v>Текст → видео</x:v>
      </x:c>
      <x:c r="D553" s="5" t="str">
        <x:v>480p</x:v>
      </x:c>
      <x:c r="E553" s="5" t="str">
        <x:v>—</x:v>
      </x:c>
      <x:c r="F553" s="5" t="n">
        <x:v>6</x:v>
      </x:c>
      <x:c r="G553" s="5" t="str">
        <x:v>—</x:v>
      </x:c>
      <x:c r="H553" s="5" t="str">
        <x:v>Без исходного файла</x:v>
      </x:c>
      <x:c r="I553" s="6" t="n">
        <x:v>15.84</x:v>
      </x:c>
      <x:c r="J553" s="6" t="n">
        <x:v>15.84</x:v>
      </x:c>
      <x:c r="K553" s="5" t="str">
        <x:v>Точная цена в редакторе</x:v>
      </x:c>
      <x:c r="L553" s="5" t="str">
        <x:v>видео</x:v>
      </x:c>
      <x:c r="M553" s="7" t="n">
        <x:f>IF(J553="","",ROUND(J553*Tariffs!$D$5,2))</x:f>
        <x:v>13.17</x:v>
      </x:c>
      <x:c r="N553" s="7" t="n">
        <x:f>IF(J553="","",ROUND(J553*Tariffs!$D$6,2))</x:f>
        <x:v>13.19</x:v>
      </x:c>
      <x:c r="O553" s="7" t="n">
        <x:f>IF(J553="","",ROUND(J553*Tariffs!$D$7,2))</x:f>
        <x:v>13.2</x:v>
      </x:c>
      <x:c r="P553" s="5" t="str">
        <x:v>https://neuromia.ru/app/video/grok</x:v>
      </x:c>
      <x:c r="Q553" s="8" t="n">
        <x:v>46282.375</x:v>
      </x:c>
      <x:c r="R553" s="5" t="str"/>
    </x:row>
    <x:row r="554" ht="22" customHeight="1">
      <x:c r="A554" s="5" t="str">
        <x:v>Видео</x:v>
      </x:c>
      <x:c r="B554" s="5" t="str">
        <x:v>Grok Imagine</x:v>
      </x:c>
      <x:c r="C554" s="5" t="str">
        <x:v>Текст → видео</x:v>
      </x:c>
      <x:c r="D554" s="5" t="str">
        <x:v>480p</x:v>
      </x:c>
      <x:c r="E554" s="5" t="str">
        <x:v>—</x:v>
      </x:c>
      <x:c r="F554" s="5" t="n">
        <x:v>7</x:v>
      </x:c>
      <x:c r="G554" s="5" t="str">
        <x:v>—</x:v>
      </x:c>
      <x:c r="H554" s="5" t="str">
        <x:v>Без исходного файла</x:v>
      </x:c>
      <x:c r="I554" s="6" t="n">
        <x:v>18.48</x:v>
      </x:c>
      <x:c r="J554" s="6" t="n">
        <x:v>18.48</x:v>
      </x:c>
      <x:c r="K554" s="5" t="str">
        <x:v>Точная цена в редакторе</x:v>
      </x:c>
      <x:c r="L554" s="5" t="str">
        <x:v>видео</x:v>
      </x:c>
      <x:c r="M554" s="7" t="n">
        <x:f>IF(J554="","",ROUND(J554*Tariffs!$D$5,2))</x:f>
        <x:v>15.37</x:v>
      </x:c>
      <x:c r="N554" s="7" t="n">
        <x:f>IF(J554="","",ROUND(J554*Tariffs!$D$6,2))</x:f>
        <x:v>15.38</x:v>
      </x:c>
      <x:c r="O554" s="7" t="n">
        <x:f>IF(J554="","",ROUND(J554*Tariffs!$D$7,2))</x:f>
        <x:v>15.4</x:v>
      </x:c>
      <x:c r="P554" s="5" t="str">
        <x:v>https://neuromia.ru/app/video/grok</x:v>
      </x:c>
      <x:c r="Q554" s="8" t="n">
        <x:v>46282.375</x:v>
      </x:c>
      <x:c r="R554" s="5" t="str"/>
    </x:row>
    <x:row r="555" ht="22" customHeight="1">
      <x:c r="A555" s="5" t="str">
        <x:v>Видео</x:v>
      </x:c>
      <x:c r="B555" s="5" t="str">
        <x:v>Grok Imagine</x:v>
      </x:c>
      <x:c r="C555" s="5" t="str">
        <x:v>Текст → видео</x:v>
      </x:c>
      <x:c r="D555" s="5" t="str">
        <x:v>480p</x:v>
      </x:c>
      <x:c r="E555" s="5" t="str">
        <x:v>—</x:v>
      </x:c>
      <x:c r="F555" s="5" t="n">
        <x:v>8</x:v>
      </x:c>
      <x:c r="G555" s="5" t="str">
        <x:v>—</x:v>
      </x:c>
      <x:c r="H555" s="5" t="str">
        <x:v>Без исходного файла</x:v>
      </x:c>
      <x:c r="I555" s="6" t="n">
        <x:v>21.12</x:v>
      </x:c>
      <x:c r="J555" s="6" t="n">
        <x:v>21.12</x:v>
      </x:c>
      <x:c r="K555" s="5" t="str">
        <x:v>Точная цена в редакторе</x:v>
      </x:c>
      <x:c r="L555" s="5" t="str">
        <x:v>видео</x:v>
      </x:c>
      <x:c r="M555" s="7" t="n">
        <x:f>IF(J555="","",ROUND(J555*Tariffs!$D$5,2))</x:f>
        <x:v>17.56</x:v>
      </x:c>
      <x:c r="N555" s="7" t="n">
        <x:f>IF(J555="","",ROUND(J555*Tariffs!$D$6,2))</x:f>
        <x:v>17.58</x:v>
      </x:c>
      <x:c r="O555" s="7" t="n">
        <x:f>IF(J555="","",ROUND(J555*Tariffs!$D$7,2))</x:f>
        <x:v>17.6</x:v>
      </x:c>
      <x:c r="P555" s="5" t="str">
        <x:v>https://neuromia.ru/app/video/grok</x:v>
      </x:c>
      <x:c r="Q555" s="8" t="n">
        <x:v>46282.375</x:v>
      </x:c>
      <x:c r="R555" s="5" t="str"/>
    </x:row>
    <x:row r="556" ht="22" customHeight="1">
      <x:c r="A556" s="5" t="str">
        <x:v>Видео</x:v>
      </x:c>
      <x:c r="B556" s="5" t="str">
        <x:v>Grok Imagine</x:v>
      </x:c>
      <x:c r="C556" s="5" t="str">
        <x:v>Текст → видео</x:v>
      </x:c>
      <x:c r="D556" s="5" t="str">
        <x:v>480p</x:v>
      </x:c>
      <x:c r="E556" s="5" t="str">
        <x:v>—</x:v>
      </x:c>
      <x:c r="F556" s="5" t="n">
        <x:v>9</x:v>
      </x:c>
      <x:c r="G556" s="5" t="str">
        <x:v>—</x:v>
      </x:c>
      <x:c r="H556" s="5" t="str">
        <x:v>Без исходного файла</x:v>
      </x:c>
      <x:c r="I556" s="6" t="n">
        <x:v>23.76</x:v>
      </x:c>
      <x:c r="J556" s="6" t="n">
        <x:v>23.76</x:v>
      </x:c>
      <x:c r="K556" s="5" t="str">
        <x:v>Точная цена в редакторе</x:v>
      </x:c>
      <x:c r="L556" s="5" t="str">
        <x:v>видео</x:v>
      </x:c>
      <x:c r="M556" s="7" t="n">
        <x:f>IF(J556="","",ROUND(J556*Tariffs!$D$5,2))</x:f>
        <x:v>19.76</x:v>
      </x:c>
      <x:c r="N556" s="7" t="n">
        <x:f>IF(J556="","",ROUND(J556*Tariffs!$D$6,2))</x:f>
        <x:v>19.78</x:v>
      </x:c>
      <x:c r="O556" s="7" t="n">
        <x:f>IF(J556="","",ROUND(J556*Tariffs!$D$7,2))</x:f>
        <x:v>19.8</x:v>
      </x:c>
      <x:c r="P556" s="5" t="str">
        <x:v>https://neuromia.ru/app/video/grok</x:v>
      </x:c>
      <x:c r="Q556" s="8" t="n">
        <x:v>46282.375</x:v>
      </x:c>
      <x:c r="R556" s="5" t="str"/>
    </x:row>
    <x:row r="557" ht="22" customHeight="1">
      <x:c r="A557" s="5" t="str">
        <x:v>Видео</x:v>
      </x:c>
      <x:c r="B557" s="5" t="str">
        <x:v>Grok Imagine</x:v>
      </x:c>
      <x:c r="C557" s="5" t="str">
        <x:v>Текст → видео</x:v>
      </x:c>
      <x:c r="D557" s="5" t="str">
        <x:v>480p</x:v>
      </x:c>
      <x:c r="E557" s="5" t="str">
        <x:v>—</x:v>
      </x:c>
      <x:c r="F557" s="5" t="n">
        <x:v>10</x:v>
      </x:c>
      <x:c r="G557" s="5" t="str">
        <x:v>—</x:v>
      </x:c>
      <x:c r="H557" s="5" t="str">
        <x:v>Без исходного файла</x:v>
      </x:c>
      <x:c r="I557" s="6" t="n">
        <x:v>26.4</x:v>
      </x:c>
      <x:c r="J557" s="6" t="n">
        <x:v>26.4</x:v>
      </x:c>
      <x:c r="K557" s="5" t="str">
        <x:v>Точная цена в редакторе</x:v>
      </x:c>
      <x:c r="L557" s="5" t="str">
        <x:v>видео</x:v>
      </x:c>
      <x:c r="M557" s="7" t="n">
        <x:f>IF(J557="","",ROUND(J557*Tariffs!$D$5,2))</x:f>
        <x:v>21.96</x:v>
      </x:c>
      <x:c r="N557" s="7" t="n">
        <x:f>IF(J557="","",ROUND(J557*Tariffs!$D$6,2))</x:f>
        <x:v>21.98</x:v>
      </x:c>
      <x:c r="O557" s="7" t="n">
        <x:f>IF(J557="","",ROUND(J557*Tariffs!$D$7,2))</x:f>
        <x:v>22</x:v>
      </x:c>
      <x:c r="P557" s="5" t="str">
        <x:v>https://neuromia.ru/app/video/grok</x:v>
      </x:c>
      <x:c r="Q557" s="8" t="n">
        <x:v>46282.375</x:v>
      </x:c>
      <x:c r="R557" s="5" t="str"/>
    </x:row>
    <x:row r="558" ht="22" customHeight="1">
      <x:c r="A558" s="5" t="str">
        <x:v>Видео</x:v>
      </x:c>
      <x:c r="B558" s="5" t="str">
        <x:v>Grok Imagine</x:v>
      </x:c>
      <x:c r="C558" s="5" t="str">
        <x:v>Текст → видео</x:v>
      </x:c>
      <x:c r="D558" s="5" t="str">
        <x:v>480p</x:v>
      </x:c>
      <x:c r="E558" s="5" t="str">
        <x:v>—</x:v>
      </x:c>
      <x:c r="F558" s="5" t="n">
        <x:v>11</x:v>
      </x:c>
      <x:c r="G558" s="5" t="str">
        <x:v>—</x:v>
      </x:c>
      <x:c r="H558" s="5" t="str">
        <x:v>Без исходного файла</x:v>
      </x:c>
      <x:c r="I558" s="6" t="n">
        <x:v>29.04</x:v>
      </x:c>
      <x:c r="J558" s="6" t="n">
        <x:v>29.04</x:v>
      </x:c>
      <x:c r="K558" s="5" t="str">
        <x:v>Точная цена в редакторе</x:v>
      </x:c>
      <x:c r="L558" s="5" t="str">
        <x:v>видео</x:v>
      </x:c>
      <x:c r="M558" s="7" t="n">
        <x:f>IF(J558="","",ROUND(J558*Tariffs!$D$5,2))</x:f>
        <x:v>24.15</x:v>
      </x:c>
      <x:c r="N558" s="7" t="n">
        <x:f>IF(J558="","",ROUND(J558*Tariffs!$D$6,2))</x:f>
        <x:v>24.18</x:v>
      </x:c>
      <x:c r="O558" s="7" t="n">
        <x:f>IF(J558="","",ROUND(J558*Tariffs!$D$7,2))</x:f>
        <x:v>24.2</x:v>
      </x:c>
      <x:c r="P558" s="5" t="str">
        <x:v>https://neuromia.ru/app/video/grok</x:v>
      </x:c>
      <x:c r="Q558" s="8" t="n">
        <x:v>46282.375</x:v>
      </x:c>
      <x:c r="R558" s="5" t="str"/>
    </x:row>
    <x:row r="559" ht="22" customHeight="1">
      <x:c r="A559" s="5" t="str">
        <x:v>Видео</x:v>
      </x:c>
      <x:c r="B559" s="5" t="str">
        <x:v>Grok Imagine</x:v>
      </x:c>
      <x:c r="C559" s="5" t="str">
        <x:v>Текст → видео</x:v>
      </x:c>
      <x:c r="D559" s="5" t="str">
        <x:v>480p</x:v>
      </x:c>
      <x:c r="E559" s="5" t="str">
        <x:v>—</x:v>
      </x:c>
      <x:c r="F559" s="5" t="n">
        <x:v>12</x:v>
      </x:c>
      <x:c r="G559" s="5" t="str">
        <x:v>—</x:v>
      </x:c>
      <x:c r="H559" s="5" t="str">
        <x:v>Без исходного файла</x:v>
      </x:c>
      <x:c r="I559" s="6" t="n">
        <x:v>31.68</x:v>
      </x:c>
      <x:c r="J559" s="6" t="n">
        <x:v>31.68</x:v>
      </x:c>
      <x:c r="K559" s="5" t="str">
        <x:v>Точная цена в редакторе</x:v>
      </x:c>
      <x:c r="L559" s="5" t="str">
        <x:v>видео</x:v>
      </x:c>
      <x:c r="M559" s="7" t="n">
        <x:f>IF(J559="","",ROUND(J559*Tariffs!$D$5,2))</x:f>
        <x:v>26.35</x:v>
      </x:c>
      <x:c r="N559" s="7" t="n">
        <x:f>IF(J559="","",ROUND(J559*Tariffs!$D$6,2))</x:f>
        <x:v>26.37</x:v>
      </x:c>
      <x:c r="O559" s="7" t="n">
        <x:f>IF(J559="","",ROUND(J559*Tariffs!$D$7,2))</x:f>
        <x:v>26.39</x:v>
      </x:c>
      <x:c r="P559" s="5" t="str">
        <x:v>https://neuromia.ru/app/video/grok</x:v>
      </x:c>
      <x:c r="Q559" s="8" t="n">
        <x:v>46282.375</x:v>
      </x:c>
      <x:c r="R559" s="5" t="str"/>
    </x:row>
    <x:row r="560" ht="22" customHeight="1">
      <x:c r="A560" s="5" t="str">
        <x:v>Видео</x:v>
      </x:c>
      <x:c r="B560" s="5" t="str">
        <x:v>Grok Imagine</x:v>
      </x:c>
      <x:c r="C560" s="5" t="str">
        <x:v>Текст → видео</x:v>
      </x:c>
      <x:c r="D560" s="5" t="str">
        <x:v>480p</x:v>
      </x:c>
      <x:c r="E560" s="5" t="str">
        <x:v>—</x:v>
      </x:c>
      <x:c r="F560" s="5" t="n">
        <x:v>13</x:v>
      </x:c>
      <x:c r="G560" s="5" t="str">
        <x:v>—</x:v>
      </x:c>
      <x:c r="H560" s="5" t="str">
        <x:v>Без исходного файла</x:v>
      </x:c>
      <x:c r="I560" s="6" t="n">
        <x:v>34.32</x:v>
      </x:c>
      <x:c r="J560" s="6" t="n">
        <x:v>34.32</x:v>
      </x:c>
      <x:c r="K560" s="5" t="str">
        <x:v>Точная цена в редакторе</x:v>
      </x:c>
      <x:c r="L560" s="5" t="str">
        <x:v>видео</x:v>
      </x:c>
      <x:c r="M560" s="7" t="n">
        <x:f>IF(J560="","",ROUND(J560*Tariffs!$D$5,2))</x:f>
        <x:v>28.54</x:v>
      </x:c>
      <x:c r="N560" s="7" t="n">
        <x:f>IF(J560="","",ROUND(J560*Tariffs!$D$6,2))</x:f>
        <x:v>28.57</x:v>
      </x:c>
      <x:c r="O560" s="7" t="n">
        <x:f>IF(J560="","",ROUND(J560*Tariffs!$D$7,2))</x:f>
        <x:v>28.59</x:v>
      </x:c>
      <x:c r="P560" s="5" t="str">
        <x:v>https://neuromia.ru/app/video/grok</x:v>
      </x:c>
      <x:c r="Q560" s="8" t="n">
        <x:v>46282.375</x:v>
      </x:c>
      <x:c r="R560" s="5" t="str"/>
    </x:row>
    <x:row r="561" ht="22" customHeight="1">
      <x:c r="A561" s="5" t="str">
        <x:v>Видео</x:v>
      </x:c>
      <x:c r="B561" s="5" t="str">
        <x:v>Grok Imagine</x:v>
      </x:c>
      <x:c r="C561" s="5" t="str">
        <x:v>Текст → видео</x:v>
      </x:c>
      <x:c r="D561" s="5" t="str">
        <x:v>480p</x:v>
      </x:c>
      <x:c r="E561" s="5" t="str">
        <x:v>—</x:v>
      </x:c>
      <x:c r="F561" s="5" t="n">
        <x:v>14</x:v>
      </x:c>
      <x:c r="G561" s="5" t="str">
        <x:v>—</x:v>
      </x:c>
      <x:c r="H561" s="5" t="str">
        <x:v>Без исходного файла</x:v>
      </x:c>
      <x:c r="I561" s="6" t="n">
        <x:v>36.96</x:v>
      </x:c>
      <x:c r="J561" s="6" t="n">
        <x:v>36.96</x:v>
      </x:c>
      <x:c r="K561" s="5" t="str">
        <x:v>Точная цена в редакторе</x:v>
      </x:c>
      <x:c r="L561" s="5" t="str">
        <x:v>видео</x:v>
      </x:c>
      <x:c r="M561" s="7" t="n">
        <x:f>IF(J561="","",ROUND(J561*Tariffs!$D$5,2))</x:f>
        <x:v>30.74</x:v>
      </x:c>
      <x:c r="N561" s="7" t="n">
        <x:f>IF(J561="","",ROUND(J561*Tariffs!$D$6,2))</x:f>
        <x:v>30.77</x:v>
      </x:c>
      <x:c r="O561" s="7" t="n">
        <x:f>IF(J561="","",ROUND(J561*Tariffs!$D$7,2))</x:f>
        <x:v>30.79</x:v>
      </x:c>
      <x:c r="P561" s="5" t="str">
        <x:v>https://neuromia.ru/app/video/grok</x:v>
      </x:c>
      <x:c r="Q561" s="8" t="n">
        <x:v>46282.375</x:v>
      </x:c>
      <x:c r="R561" s="5" t="str"/>
    </x:row>
    <x:row r="562" ht="22" customHeight="1">
      <x:c r="A562" s="5" t="str">
        <x:v>Видео</x:v>
      </x:c>
      <x:c r="B562" s="5" t="str">
        <x:v>Grok Imagine</x:v>
      </x:c>
      <x:c r="C562" s="5" t="str">
        <x:v>Текст → видео</x:v>
      </x:c>
      <x:c r="D562" s="5" t="str">
        <x:v>480p</x:v>
      </x:c>
      <x:c r="E562" s="5" t="str">
        <x:v>—</x:v>
      </x:c>
      <x:c r="F562" s="5" t="n">
        <x:v>15</x:v>
      </x:c>
      <x:c r="G562" s="5" t="str">
        <x:v>—</x:v>
      </x:c>
      <x:c r="H562" s="5" t="str">
        <x:v>Без исходного файла</x:v>
      </x:c>
      <x:c r="I562" s="6" t="n">
        <x:v>39.6</x:v>
      </x:c>
      <x:c r="J562" s="6" t="n">
        <x:v>39.6</x:v>
      </x:c>
      <x:c r="K562" s="5" t="str">
        <x:v>Точная цена в редакторе</x:v>
      </x:c>
      <x:c r="L562" s="5" t="str">
        <x:v>видео</x:v>
      </x:c>
      <x:c r="M562" s="7" t="n">
        <x:f>IF(J562="","",ROUND(J562*Tariffs!$D$5,2))</x:f>
        <x:v>32.93</x:v>
      </x:c>
      <x:c r="N562" s="7" t="n">
        <x:f>IF(J562="","",ROUND(J562*Tariffs!$D$6,2))</x:f>
        <x:v>32.97</x:v>
      </x:c>
      <x:c r="O562" s="7" t="n">
        <x:f>IF(J562="","",ROUND(J562*Tariffs!$D$7,2))</x:f>
        <x:v>32.99</x:v>
      </x:c>
      <x:c r="P562" s="5" t="str">
        <x:v>https://neuromia.ru/app/video/grok</x:v>
      </x:c>
      <x:c r="Q562" s="8" t="n">
        <x:v>46282.375</x:v>
      </x:c>
      <x:c r="R562" s="5" t="str"/>
    </x:row>
    <x:row r="563" ht="22" customHeight="1">
      <x:c r="A563" s="5" t="str">
        <x:v>Видео</x:v>
      </x:c>
      <x:c r="B563" s="5" t="str">
        <x:v>Grok Imagine</x:v>
      </x:c>
      <x:c r="C563" s="5" t="str">
        <x:v>Текст → видео</x:v>
      </x:c>
      <x:c r="D563" s="5" t="str">
        <x:v>480p</x:v>
      </x:c>
      <x:c r="E563" s="5" t="str">
        <x:v>—</x:v>
      </x:c>
      <x:c r="F563" s="5" t="n">
        <x:v>16</x:v>
      </x:c>
      <x:c r="G563" s="5" t="str">
        <x:v>—</x:v>
      </x:c>
      <x:c r="H563" s="5" t="str">
        <x:v>Без исходного файла</x:v>
      </x:c>
      <x:c r="I563" s="6" t="n">
        <x:v>42.24</x:v>
      </x:c>
      <x:c r="J563" s="6" t="n">
        <x:v>42.24</x:v>
      </x:c>
      <x:c r="K563" s="5" t="str">
        <x:v>Точная цена в редакторе</x:v>
      </x:c>
      <x:c r="L563" s="5" t="str">
        <x:v>видео</x:v>
      </x:c>
      <x:c r="M563" s="7" t="n">
        <x:f>IF(J563="","",ROUND(J563*Tariffs!$D$5,2))</x:f>
        <x:v>35.13</x:v>
      </x:c>
      <x:c r="N563" s="7" t="n">
        <x:f>IF(J563="","",ROUND(J563*Tariffs!$D$6,2))</x:f>
        <x:v>35.16</x:v>
      </x:c>
      <x:c r="O563" s="7" t="n">
        <x:f>IF(J563="","",ROUND(J563*Tariffs!$D$7,2))</x:f>
        <x:v>35.19</x:v>
      </x:c>
      <x:c r="P563" s="5" t="str">
        <x:v>https://neuromia.ru/app/video/grok</x:v>
      </x:c>
      <x:c r="Q563" s="8" t="n">
        <x:v>46282.375</x:v>
      </x:c>
      <x:c r="R563" s="5" t="str"/>
    </x:row>
    <x:row r="564" ht="22" customHeight="1">
      <x:c r="A564" s="5" t="str">
        <x:v>Видео</x:v>
      </x:c>
      <x:c r="B564" s="5" t="str">
        <x:v>Grok Imagine</x:v>
      </x:c>
      <x:c r="C564" s="5" t="str">
        <x:v>Текст → видео</x:v>
      </x:c>
      <x:c r="D564" s="5" t="str">
        <x:v>480p</x:v>
      </x:c>
      <x:c r="E564" s="5" t="str">
        <x:v>—</x:v>
      </x:c>
      <x:c r="F564" s="5" t="n">
        <x:v>17</x:v>
      </x:c>
      <x:c r="G564" s="5" t="str">
        <x:v>—</x:v>
      </x:c>
      <x:c r="H564" s="5" t="str">
        <x:v>Без исходного файла</x:v>
      </x:c>
      <x:c r="I564" s="6" t="n">
        <x:v>44.88</x:v>
      </x:c>
      <x:c r="J564" s="6" t="n">
        <x:v>44.88</x:v>
      </x:c>
      <x:c r="K564" s="5" t="str">
        <x:v>Точная цена в редакторе</x:v>
      </x:c>
      <x:c r="L564" s="5" t="str">
        <x:v>видео</x:v>
      </x:c>
      <x:c r="M564" s="7" t="n">
        <x:f>IF(J564="","",ROUND(J564*Tariffs!$D$5,2))</x:f>
        <x:v>37.33</x:v>
      </x:c>
      <x:c r="N564" s="7" t="n">
        <x:f>IF(J564="","",ROUND(J564*Tariffs!$D$6,2))</x:f>
        <x:v>37.36</x:v>
      </x:c>
      <x:c r="O564" s="7" t="n">
        <x:f>IF(J564="","",ROUND(J564*Tariffs!$D$7,2))</x:f>
        <x:v>37.39</x:v>
      </x:c>
      <x:c r="P564" s="5" t="str">
        <x:v>https://neuromia.ru/app/video/grok</x:v>
      </x:c>
      <x:c r="Q564" s="8" t="n">
        <x:v>46282.375</x:v>
      </x:c>
      <x:c r="R564" s="5" t="str"/>
    </x:row>
    <x:row r="565" ht="22" customHeight="1">
      <x:c r="A565" s="5" t="str">
        <x:v>Видео</x:v>
      </x:c>
      <x:c r="B565" s="5" t="str">
        <x:v>Grok Imagine</x:v>
      </x:c>
      <x:c r="C565" s="5" t="str">
        <x:v>Текст → видео</x:v>
      </x:c>
      <x:c r="D565" s="5" t="str">
        <x:v>480p</x:v>
      </x:c>
      <x:c r="E565" s="5" t="str">
        <x:v>—</x:v>
      </x:c>
      <x:c r="F565" s="5" t="n">
        <x:v>18</x:v>
      </x:c>
      <x:c r="G565" s="5" t="str">
        <x:v>—</x:v>
      </x:c>
      <x:c r="H565" s="5" t="str">
        <x:v>Без исходного файла</x:v>
      </x:c>
      <x:c r="I565" s="6" t="n">
        <x:v>47.52</x:v>
      </x:c>
      <x:c r="J565" s="6" t="n">
        <x:v>47.52</x:v>
      </x:c>
      <x:c r="K565" s="5" t="str">
        <x:v>Точная цена в редакторе</x:v>
      </x:c>
      <x:c r="L565" s="5" t="str">
        <x:v>видео</x:v>
      </x:c>
      <x:c r="M565" s="7" t="n">
        <x:f>IF(J565="","",ROUND(J565*Tariffs!$D$5,2))</x:f>
        <x:v>39.52</x:v>
      </x:c>
      <x:c r="N565" s="7" t="n">
        <x:f>IF(J565="","",ROUND(J565*Tariffs!$D$6,2))</x:f>
        <x:v>39.56</x:v>
      </x:c>
      <x:c r="O565" s="7" t="n">
        <x:f>IF(J565="","",ROUND(J565*Tariffs!$D$7,2))</x:f>
        <x:v>39.59</x:v>
      </x:c>
      <x:c r="P565" s="5" t="str">
        <x:v>https://neuromia.ru/app/video/grok</x:v>
      </x:c>
      <x:c r="Q565" s="8" t="n">
        <x:v>46282.375</x:v>
      </x:c>
      <x:c r="R565" s="5" t="str"/>
    </x:row>
    <x:row r="566" ht="22" customHeight="1">
      <x:c r="A566" s="5" t="str">
        <x:v>Видео</x:v>
      </x:c>
      <x:c r="B566" s="5" t="str">
        <x:v>Grok Imagine</x:v>
      </x:c>
      <x:c r="C566" s="5" t="str">
        <x:v>Текст → видео</x:v>
      </x:c>
      <x:c r="D566" s="5" t="str">
        <x:v>480p</x:v>
      </x:c>
      <x:c r="E566" s="5" t="str">
        <x:v>—</x:v>
      </x:c>
      <x:c r="F566" s="5" t="n">
        <x:v>19</x:v>
      </x:c>
      <x:c r="G566" s="5" t="str">
        <x:v>—</x:v>
      </x:c>
      <x:c r="H566" s="5" t="str">
        <x:v>Без исходного файла</x:v>
      </x:c>
      <x:c r="I566" s="6" t="n">
        <x:v>50.16</x:v>
      </x:c>
      <x:c r="J566" s="6" t="n">
        <x:v>50.16</x:v>
      </x:c>
      <x:c r="K566" s="5" t="str">
        <x:v>Точная цена в редакторе</x:v>
      </x:c>
      <x:c r="L566" s="5" t="str">
        <x:v>видео</x:v>
      </x:c>
      <x:c r="M566" s="7" t="n">
        <x:f>IF(J566="","",ROUND(J566*Tariffs!$D$5,2))</x:f>
        <x:v>41.72</x:v>
      </x:c>
      <x:c r="N566" s="7" t="n">
        <x:f>IF(J566="","",ROUND(J566*Tariffs!$D$6,2))</x:f>
        <x:v>41.76</x:v>
      </x:c>
      <x:c r="O566" s="7" t="n">
        <x:f>IF(J566="","",ROUND(J566*Tariffs!$D$7,2))</x:f>
        <x:v>41.79</x:v>
      </x:c>
      <x:c r="P566" s="5" t="str">
        <x:v>https://neuromia.ru/app/video/grok</x:v>
      </x:c>
      <x:c r="Q566" s="8" t="n">
        <x:v>46282.375</x:v>
      </x:c>
      <x:c r="R566" s="5" t="str"/>
    </x:row>
    <x:row r="567" ht="22" customHeight="1">
      <x:c r="A567" s="5" t="str">
        <x:v>Видео</x:v>
      </x:c>
      <x:c r="B567" s="5" t="str">
        <x:v>Grok Imagine</x:v>
      </x:c>
      <x:c r="C567" s="5" t="str">
        <x:v>Текст → видео</x:v>
      </x:c>
      <x:c r="D567" s="5" t="str">
        <x:v>480p</x:v>
      </x:c>
      <x:c r="E567" s="5" t="str">
        <x:v>—</x:v>
      </x:c>
      <x:c r="F567" s="5" t="n">
        <x:v>20</x:v>
      </x:c>
      <x:c r="G567" s="5" t="str">
        <x:v>—</x:v>
      </x:c>
      <x:c r="H567" s="5" t="str">
        <x:v>Без исходного файла</x:v>
      </x:c>
      <x:c r="I567" s="6" t="n">
        <x:v>52.8</x:v>
      </x:c>
      <x:c r="J567" s="6" t="n">
        <x:v>52.8</x:v>
      </x:c>
      <x:c r="K567" s="5" t="str">
        <x:v>Точная цена в редакторе</x:v>
      </x:c>
      <x:c r="L567" s="5" t="str">
        <x:v>видео</x:v>
      </x:c>
      <x:c r="M567" s="7" t="n">
        <x:f>IF(J567="","",ROUND(J567*Tariffs!$D$5,2))</x:f>
        <x:v>43.91</x:v>
      </x:c>
      <x:c r="N567" s="7" t="n">
        <x:f>IF(J567="","",ROUND(J567*Tariffs!$D$6,2))</x:f>
        <x:v>43.96</x:v>
      </x:c>
      <x:c r="O567" s="7" t="n">
        <x:f>IF(J567="","",ROUND(J567*Tariffs!$D$7,2))</x:f>
        <x:v>43.99</x:v>
      </x:c>
      <x:c r="P567" s="5" t="str">
        <x:v>https://neuromia.ru/app/video/grok</x:v>
      </x:c>
      <x:c r="Q567" s="8" t="n">
        <x:v>46282.375</x:v>
      </x:c>
      <x:c r="R567" s="5" t="str"/>
    </x:row>
    <x:row r="568" ht="22" customHeight="1">
      <x:c r="A568" s="5" t="str">
        <x:v>Видео</x:v>
      </x:c>
      <x:c r="B568" s="5" t="str">
        <x:v>Grok Imagine</x:v>
      </x:c>
      <x:c r="C568" s="5" t="str">
        <x:v>Текст → видео</x:v>
      </x:c>
      <x:c r="D568" s="5" t="str">
        <x:v>480p</x:v>
      </x:c>
      <x:c r="E568" s="5" t="str">
        <x:v>—</x:v>
      </x:c>
      <x:c r="F568" s="5" t="n">
        <x:v>21</x:v>
      </x:c>
      <x:c r="G568" s="5" t="str">
        <x:v>—</x:v>
      </x:c>
      <x:c r="H568" s="5" t="str">
        <x:v>Без исходного файла</x:v>
      </x:c>
      <x:c r="I568" s="6" t="n">
        <x:v>55.44</x:v>
      </x:c>
      <x:c r="J568" s="6" t="n">
        <x:v>55.44</x:v>
      </x:c>
      <x:c r="K568" s="5" t="str">
        <x:v>Точная цена в редакторе</x:v>
      </x:c>
      <x:c r="L568" s="5" t="str">
        <x:v>видео</x:v>
      </x:c>
      <x:c r="M568" s="7" t="n">
        <x:f>IF(J568="","",ROUND(J568*Tariffs!$D$5,2))</x:f>
        <x:v>46.11</x:v>
      </x:c>
      <x:c r="N568" s="7" t="n">
        <x:f>IF(J568="","",ROUND(J568*Tariffs!$D$6,2))</x:f>
        <x:v>46.15</x:v>
      </x:c>
      <x:c r="O568" s="7" t="n">
        <x:f>IF(J568="","",ROUND(J568*Tariffs!$D$7,2))</x:f>
        <x:v>46.19</x:v>
      </x:c>
      <x:c r="P568" s="5" t="str">
        <x:v>https://neuromia.ru/app/video/grok</x:v>
      </x:c>
      <x:c r="Q568" s="8" t="n">
        <x:v>46282.375</x:v>
      </x:c>
      <x:c r="R568" s="5" t="str"/>
    </x:row>
    <x:row r="569" ht="22" customHeight="1">
      <x:c r="A569" s="5" t="str">
        <x:v>Видео</x:v>
      </x:c>
      <x:c r="B569" s="5" t="str">
        <x:v>Grok Imagine</x:v>
      </x:c>
      <x:c r="C569" s="5" t="str">
        <x:v>Текст → видео</x:v>
      </x:c>
      <x:c r="D569" s="5" t="str">
        <x:v>480p</x:v>
      </x:c>
      <x:c r="E569" s="5" t="str">
        <x:v>—</x:v>
      </x:c>
      <x:c r="F569" s="5" t="n">
        <x:v>22</x:v>
      </x:c>
      <x:c r="G569" s="5" t="str">
        <x:v>—</x:v>
      </x:c>
      <x:c r="H569" s="5" t="str">
        <x:v>Без исходного файла</x:v>
      </x:c>
      <x:c r="I569" s="6" t="n">
        <x:v>58.08</x:v>
      </x:c>
      <x:c r="J569" s="6" t="n">
        <x:v>58.08</x:v>
      </x:c>
      <x:c r="K569" s="5" t="str">
        <x:v>Точная цена в редакторе</x:v>
      </x:c>
      <x:c r="L569" s="5" t="str">
        <x:v>видео</x:v>
      </x:c>
      <x:c r="M569" s="7" t="n">
        <x:f>IF(J569="","",ROUND(J569*Tariffs!$D$5,2))</x:f>
        <x:v>48.3</x:v>
      </x:c>
      <x:c r="N569" s="7" t="n">
        <x:f>IF(J569="","",ROUND(J569*Tariffs!$D$6,2))</x:f>
        <x:v>48.35</x:v>
      </x:c>
      <x:c r="O569" s="7" t="n">
        <x:f>IF(J569="","",ROUND(J569*Tariffs!$D$7,2))</x:f>
        <x:v>48.39</x:v>
      </x:c>
      <x:c r="P569" s="5" t="str">
        <x:v>https://neuromia.ru/app/video/grok</x:v>
      </x:c>
      <x:c r="Q569" s="8" t="n">
        <x:v>46282.375</x:v>
      </x:c>
      <x:c r="R569" s="5" t="str"/>
    </x:row>
    <x:row r="570" ht="22" customHeight="1">
      <x:c r="A570" s="5" t="str">
        <x:v>Видео</x:v>
      </x:c>
      <x:c r="B570" s="5" t="str">
        <x:v>Grok Imagine</x:v>
      </x:c>
      <x:c r="C570" s="5" t="str">
        <x:v>Текст → видео</x:v>
      </x:c>
      <x:c r="D570" s="5" t="str">
        <x:v>480p</x:v>
      </x:c>
      <x:c r="E570" s="5" t="str">
        <x:v>—</x:v>
      </x:c>
      <x:c r="F570" s="5" t="n">
        <x:v>23</x:v>
      </x:c>
      <x:c r="G570" s="5" t="str">
        <x:v>—</x:v>
      </x:c>
      <x:c r="H570" s="5" t="str">
        <x:v>Без исходного файла</x:v>
      </x:c>
      <x:c r="I570" s="6" t="n">
        <x:v>60.72</x:v>
      </x:c>
      <x:c r="J570" s="6" t="n">
        <x:v>60.72</x:v>
      </x:c>
      <x:c r="K570" s="5" t="str">
        <x:v>Точная цена в редакторе</x:v>
      </x:c>
      <x:c r="L570" s="5" t="str">
        <x:v>видео</x:v>
      </x:c>
      <x:c r="M570" s="7" t="n">
        <x:f>IF(J570="","",ROUND(J570*Tariffs!$D$5,2))</x:f>
        <x:v>50.5</x:v>
      </x:c>
      <x:c r="N570" s="7" t="n">
        <x:f>IF(J570="","",ROUND(J570*Tariffs!$D$6,2))</x:f>
        <x:v>50.55</x:v>
      </x:c>
      <x:c r="O570" s="7" t="n">
        <x:f>IF(J570="","",ROUND(J570*Tariffs!$D$7,2))</x:f>
        <x:v>50.59</x:v>
      </x:c>
      <x:c r="P570" s="5" t="str">
        <x:v>https://neuromia.ru/app/video/grok</x:v>
      </x:c>
      <x:c r="Q570" s="8" t="n">
        <x:v>46282.375</x:v>
      </x:c>
      <x:c r="R570" s="5" t="str"/>
    </x:row>
    <x:row r="571" ht="22" customHeight="1">
      <x:c r="A571" s="5" t="str">
        <x:v>Видео</x:v>
      </x:c>
      <x:c r="B571" s="5" t="str">
        <x:v>Grok Imagine</x:v>
      </x:c>
      <x:c r="C571" s="5" t="str">
        <x:v>Текст → видео</x:v>
      </x:c>
      <x:c r="D571" s="5" t="str">
        <x:v>480p</x:v>
      </x:c>
      <x:c r="E571" s="5" t="str">
        <x:v>—</x:v>
      </x:c>
      <x:c r="F571" s="5" t="n">
        <x:v>24</x:v>
      </x:c>
      <x:c r="G571" s="5" t="str">
        <x:v>—</x:v>
      </x:c>
      <x:c r="H571" s="5" t="str">
        <x:v>Без исходного файла</x:v>
      </x:c>
      <x:c r="I571" s="6" t="n">
        <x:v>63.36</x:v>
      </x:c>
      <x:c r="J571" s="6" t="n">
        <x:v>63.36</x:v>
      </x:c>
      <x:c r="K571" s="5" t="str">
        <x:v>Точная цена в редакторе</x:v>
      </x:c>
      <x:c r="L571" s="5" t="str">
        <x:v>видео</x:v>
      </x:c>
      <x:c r="M571" s="7" t="n">
        <x:f>IF(J571="","",ROUND(J571*Tariffs!$D$5,2))</x:f>
        <x:v>52.69</x:v>
      </x:c>
      <x:c r="N571" s="7" t="n">
        <x:f>IF(J571="","",ROUND(J571*Tariffs!$D$6,2))</x:f>
        <x:v>52.75</x:v>
      </x:c>
      <x:c r="O571" s="7" t="n">
        <x:f>IF(J571="","",ROUND(J571*Tariffs!$D$7,2))</x:f>
        <x:v>52.79</x:v>
      </x:c>
      <x:c r="P571" s="5" t="str">
        <x:v>https://neuromia.ru/app/video/grok</x:v>
      </x:c>
      <x:c r="Q571" s="8" t="n">
        <x:v>46282.375</x:v>
      </x:c>
      <x:c r="R571" s="5" t="str"/>
    </x:row>
    <x:row r="572" ht="22" customHeight="1">
      <x:c r="A572" s="5" t="str">
        <x:v>Видео</x:v>
      </x:c>
      <x:c r="B572" s="5" t="str">
        <x:v>Grok Imagine</x:v>
      </x:c>
      <x:c r="C572" s="5" t="str">
        <x:v>Текст → видео</x:v>
      </x:c>
      <x:c r="D572" s="5" t="str">
        <x:v>480p</x:v>
      </x:c>
      <x:c r="E572" s="5" t="str">
        <x:v>—</x:v>
      </x:c>
      <x:c r="F572" s="5" t="n">
        <x:v>25</x:v>
      </x:c>
      <x:c r="G572" s="5" t="str">
        <x:v>—</x:v>
      </x:c>
      <x:c r="H572" s="5" t="str">
        <x:v>Без исходного файла</x:v>
      </x:c>
      <x:c r="I572" s="6" t="n">
        <x:v>66</x:v>
      </x:c>
      <x:c r="J572" s="6" t="n">
        <x:v>66</x:v>
      </x:c>
      <x:c r="K572" s="5" t="str">
        <x:v>Точная цена в редакторе</x:v>
      </x:c>
      <x:c r="L572" s="5" t="str">
        <x:v>видео</x:v>
      </x:c>
      <x:c r="M572" s="7" t="n">
        <x:f>IF(J572="","",ROUND(J572*Tariffs!$D$5,2))</x:f>
        <x:v>54.89</x:v>
      </x:c>
      <x:c r="N572" s="7" t="n">
        <x:f>IF(J572="","",ROUND(J572*Tariffs!$D$6,2))</x:f>
        <x:v>54.95</x:v>
      </x:c>
      <x:c r="O572" s="7" t="n">
        <x:f>IF(J572="","",ROUND(J572*Tariffs!$D$7,2))</x:f>
        <x:v>54.99</x:v>
      </x:c>
      <x:c r="P572" s="5" t="str">
        <x:v>https://neuromia.ru/app/video/grok</x:v>
      </x:c>
      <x:c r="Q572" s="8" t="n">
        <x:v>46282.375</x:v>
      </x:c>
      <x:c r="R572" s="5" t="str"/>
    </x:row>
    <x:row r="573" ht="22" customHeight="1">
      <x:c r="A573" s="5" t="str">
        <x:v>Видео</x:v>
      </x:c>
      <x:c r="B573" s="5" t="str">
        <x:v>Grok Imagine</x:v>
      </x:c>
      <x:c r="C573" s="5" t="str">
        <x:v>Текст → видео</x:v>
      </x:c>
      <x:c r="D573" s="5" t="str">
        <x:v>480p</x:v>
      </x:c>
      <x:c r="E573" s="5" t="str">
        <x:v>—</x:v>
      </x:c>
      <x:c r="F573" s="5" t="n">
        <x:v>26</x:v>
      </x:c>
      <x:c r="G573" s="5" t="str">
        <x:v>—</x:v>
      </x:c>
      <x:c r="H573" s="5" t="str">
        <x:v>Без исходного файла</x:v>
      </x:c>
      <x:c r="I573" s="6" t="n">
        <x:v>68.64</x:v>
      </x:c>
      <x:c r="J573" s="6" t="n">
        <x:v>68.64</x:v>
      </x:c>
      <x:c r="K573" s="5" t="str">
        <x:v>Точная цена в редакторе</x:v>
      </x:c>
      <x:c r="L573" s="5" t="str">
        <x:v>видео</x:v>
      </x:c>
      <x:c r="M573" s="7" t="n">
        <x:f>IF(J573="","",ROUND(J573*Tariffs!$D$5,2))</x:f>
        <x:v>57.09</x:v>
      </x:c>
      <x:c r="N573" s="7" t="n">
        <x:f>IF(J573="","",ROUND(J573*Tariffs!$D$6,2))</x:f>
        <x:v>57.14</x:v>
      </x:c>
      <x:c r="O573" s="7" t="n">
        <x:f>IF(J573="","",ROUND(J573*Tariffs!$D$7,2))</x:f>
        <x:v>57.19</x:v>
      </x:c>
      <x:c r="P573" s="5" t="str">
        <x:v>https://neuromia.ru/app/video/grok</x:v>
      </x:c>
      <x:c r="Q573" s="8" t="n">
        <x:v>46282.375</x:v>
      </x:c>
      <x:c r="R573" s="5" t="str"/>
    </x:row>
    <x:row r="574" ht="22" customHeight="1">
      <x:c r="A574" s="5" t="str">
        <x:v>Видео</x:v>
      </x:c>
      <x:c r="B574" s="5" t="str">
        <x:v>Grok Imagine</x:v>
      </x:c>
      <x:c r="C574" s="5" t="str">
        <x:v>Текст → видео</x:v>
      </x:c>
      <x:c r="D574" s="5" t="str">
        <x:v>480p</x:v>
      </x:c>
      <x:c r="E574" s="5" t="str">
        <x:v>—</x:v>
      </x:c>
      <x:c r="F574" s="5" t="n">
        <x:v>27</x:v>
      </x:c>
      <x:c r="G574" s="5" t="str">
        <x:v>—</x:v>
      </x:c>
      <x:c r="H574" s="5" t="str">
        <x:v>Без исходного файла</x:v>
      </x:c>
      <x:c r="I574" s="6" t="n">
        <x:v>71.28</x:v>
      </x:c>
      <x:c r="J574" s="6" t="n">
        <x:v>71.28</x:v>
      </x:c>
      <x:c r="K574" s="5" t="str">
        <x:v>Точная цена в редакторе</x:v>
      </x:c>
      <x:c r="L574" s="5" t="str">
        <x:v>видео</x:v>
      </x:c>
      <x:c r="M574" s="7" t="n">
        <x:f>IF(J574="","",ROUND(J574*Tariffs!$D$5,2))</x:f>
        <x:v>59.28</x:v>
      </x:c>
      <x:c r="N574" s="7" t="n">
        <x:f>IF(J574="","",ROUND(J574*Tariffs!$D$6,2))</x:f>
        <x:v>59.34</x:v>
      </x:c>
      <x:c r="O574" s="7" t="n">
        <x:f>IF(J574="","",ROUND(J574*Tariffs!$D$7,2))</x:f>
        <x:v>59.39</x:v>
      </x:c>
      <x:c r="P574" s="5" t="str">
        <x:v>https://neuromia.ru/app/video/grok</x:v>
      </x:c>
      <x:c r="Q574" s="8" t="n">
        <x:v>46282.375</x:v>
      </x:c>
      <x:c r="R574" s="5" t="str"/>
    </x:row>
    <x:row r="575" ht="22" customHeight="1">
      <x:c r="A575" s="5" t="str">
        <x:v>Видео</x:v>
      </x:c>
      <x:c r="B575" s="5" t="str">
        <x:v>Grok Imagine</x:v>
      </x:c>
      <x:c r="C575" s="5" t="str">
        <x:v>Текст → видео</x:v>
      </x:c>
      <x:c r="D575" s="5" t="str">
        <x:v>480p</x:v>
      </x:c>
      <x:c r="E575" s="5" t="str">
        <x:v>—</x:v>
      </x:c>
      <x:c r="F575" s="5" t="n">
        <x:v>28</x:v>
      </x:c>
      <x:c r="G575" s="5" t="str">
        <x:v>—</x:v>
      </x:c>
      <x:c r="H575" s="5" t="str">
        <x:v>Без исходного файла</x:v>
      </x:c>
      <x:c r="I575" s="6" t="n">
        <x:v>73.92</x:v>
      </x:c>
      <x:c r="J575" s="6" t="n">
        <x:v>73.92</x:v>
      </x:c>
      <x:c r="K575" s="5" t="str">
        <x:v>Точная цена в редакторе</x:v>
      </x:c>
      <x:c r="L575" s="5" t="str">
        <x:v>видео</x:v>
      </x:c>
      <x:c r="M575" s="7" t="n">
        <x:f>IF(J575="","",ROUND(J575*Tariffs!$D$5,2))</x:f>
        <x:v>61.48</x:v>
      </x:c>
      <x:c r="N575" s="7" t="n">
        <x:f>IF(J575="","",ROUND(J575*Tariffs!$D$6,2))</x:f>
        <x:v>61.54</x:v>
      </x:c>
      <x:c r="O575" s="7" t="n">
        <x:f>IF(J575="","",ROUND(J575*Tariffs!$D$7,2))</x:f>
        <x:v>61.59</x:v>
      </x:c>
      <x:c r="P575" s="5" t="str">
        <x:v>https://neuromia.ru/app/video/grok</x:v>
      </x:c>
      <x:c r="Q575" s="8" t="n">
        <x:v>46282.375</x:v>
      </x:c>
      <x:c r="R575" s="5" t="str"/>
    </x:row>
    <x:row r="576" ht="22" customHeight="1">
      <x:c r="A576" s="5" t="str">
        <x:v>Видео</x:v>
      </x:c>
      <x:c r="B576" s="5" t="str">
        <x:v>Grok Imagine</x:v>
      </x:c>
      <x:c r="C576" s="5" t="str">
        <x:v>Текст → видео</x:v>
      </x:c>
      <x:c r="D576" s="5" t="str">
        <x:v>480p</x:v>
      </x:c>
      <x:c r="E576" s="5" t="str">
        <x:v>—</x:v>
      </x:c>
      <x:c r="F576" s="5" t="n">
        <x:v>29</x:v>
      </x:c>
      <x:c r="G576" s="5" t="str">
        <x:v>—</x:v>
      </x:c>
      <x:c r="H576" s="5" t="str">
        <x:v>Без исходного файла</x:v>
      </x:c>
      <x:c r="I576" s="6" t="n">
        <x:v>76.56</x:v>
      </x:c>
      <x:c r="J576" s="6" t="n">
        <x:v>76.56</x:v>
      </x:c>
      <x:c r="K576" s="5" t="str">
        <x:v>Точная цена в редакторе</x:v>
      </x:c>
      <x:c r="L576" s="5" t="str">
        <x:v>видео</x:v>
      </x:c>
      <x:c r="M576" s="7" t="n">
        <x:f>IF(J576="","",ROUND(J576*Tariffs!$D$5,2))</x:f>
        <x:v>63.67</x:v>
      </x:c>
      <x:c r="N576" s="7" t="n">
        <x:f>IF(J576="","",ROUND(J576*Tariffs!$D$6,2))</x:f>
        <x:v>63.74</x:v>
      </x:c>
      <x:c r="O576" s="7" t="n">
        <x:f>IF(J576="","",ROUND(J576*Tariffs!$D$7,2))</x:f>
        <x:v>63.79</x:v>
      </x:c>
      <x:c r="P576" s="5" t="str">
        <x:v>https://neuromia.ru/app/video/grok</x:v>
      </x:c>
      <x:c r="Q576" s="8" t="n">
        <x:v>46282.375</x:v>
      </x:c>
      <x:c r="R576" s="5" t="str"/>
    </x:row>
    <x:row r="577" ht="22" customHeight="1">
      <x:c r="A577" s="5" t="str">
        <x:v>Видео</x:v>
      </x:c>
      <x:c r="B577" s="5" t="str">
        <x:v>Grok Imagine</x:v>
      </x:c>
      <x:c r="C577" s="5" t="str">
        <x:v>Текст → видео</x:v>
      </x:c>
      <x:c r="D577" s="5" t="str">
        <x:v>480p</x:v>
      </x:c>
      <x:c r="E577" s="5" t="str">
        <x:v>—</x:v>
      </x:c>
      <x:c r="F577" s="5" t="n">
        <x:v>30</x:v>
      </x:c>
      <x:c r="G577" s="5" t="str">
        <x:v>—</x:v>
      </x:c>
      <x:c r="H577" s="5" t="str">
        <x:v>Без исходного файла</x:v>
      </x:c>
      <x:c r="I577" s="6" t="n">
        <x:v>79.2</x:v>
      </x:c>
      <x:c r="J577" s="6" t="n">
        <x:v>79.2</x:v>
      </x:c>
      <x:c r="K577" s="5" t="str">
        <x:v>Точная цена в редакторе</x:v>
      </x:c>
      <x:c r="L577" s="5" t="str">
        <x:v>видео</x:v>
      </x:c>
      <x:c r="M577" s="7" t="n">
        <x:f>IF(J577="","",ROUND(J577*Tariffs!$D$5,2))</x:f>
        <x:v>65.87</x:v>
      </x:c>
      <x:c r="N577" s="7" t="n">
        <x:f>IF(J577="","",ROUND(J577*Tariffs!$D$6,2))</x:f>
        <x:v>65.93</x:v>
      </x:c>
      <x:c r="O577" s="7" t="n">
        <x:f>IF(J577="","",ROUND(J577*Tariffs!$D$7,2))</x:f>
        <x:v>65.99</x:v>
      </x:c>
      <x:c r="P577" s="5" t="str">
        <x:v>https://neuromia.ru/app/video/grok</x:v>
      </x:c>
      <x:c r="Q577" s="8" t="n">
        <x:v>46282.375</x:v>
      </x:c>
      <x:c r="R577" s="5" t="str"/>
    </x:row>
    <x:row r="578" ht="22" customHeight="1">
      <x:c r="A578" s="5" t="str">
        <x:v>Видео</x:v>
      </x:c>
      <x:c r="B578" s="5" t="str">
        <x:v>Grok Imagine</x:v>
      </x:c>
      <x:c r="C578" s="5" t="str">
        <x:v>Текст → видео</x:v>
      </x:c>
      <x:c r="D578" s="5" t="str">
        <x:v>720p</x:v>
      </x:c>
      <x:c r="E578" s="5" t="str">
        <x:v>—</x:v>
      </x:c>
      <x:c r="F578" s="5" t="n">
        <x:v>6</x:v>
      </x:c>
      <x:c r="G578" s="5" t="str">
        <x:v>—</x:v>
      </x:c>
      <x:c r="H578" s="5" t="str">
        <x:v>Без исходного файла</x:v>
      </x:c>
      <x:c r="I578" s="6" t="n">
        <x:v>29.7</x:v>
      </x:c>
      <x:c r="J578" s="6" t="n">
        <x:v>29.7</x:v>
      </x:c>
      <x:c r="K578" s="5" t="str">
        <x:v>Точная цена в редакторе</x:v>
      </x:c>
      <x:c r="L578" s="5" t="str">
        <x:v>видео</x:v>
      </x:c>
      <x:c r="M578" s="7" t="n">
        <x:f>IF(J578="","",ROUND(J578*Tariffs!$D$5,2))</x:f>
        <x:v>24.7</x:v>
      </x:c>
      <x:c r="N578" s="7" t="n">
        <x:f>IF(J578="","",ROUND(J578*Tariffs!$D$6,2))</x:f>
        <x:v>24.73</x:v>
      </x:c>
      <x:c r="O578" s="7" t="n">
        <x:f>IF(J578="","",ROUND(J578*Tariffs!$D$7,2))</x:f>
        <x:v>24.75</x:v>
      </x:c>
      <x:c r="P578" s="5" t="str">
        <x:v>https://neuromia.ru/app/video/grok</x:v>
      </x:c>
      <x:c r="Q578" s="8" t="n">
        <x:v>46282.375</x:v>
      </x:c>
      <x:c r="R578" s="5" t="str"/>
    </x:row>
    <x:row r="579" ht="22" customHeight="1">
      <x:c r="A579" s="5" t="str">
        <x:v>Видео</x:v>
      </x:c>
      <x:c r="B579" s="5" t="str">
        <x:v>Grok Imagine</x:v>
      </x:c>
      <x:c r="C579" s="5" t="str">
        <x:v>Текст → видео</x:v>
      </x:c>
      <x:c r="D579" s="5" t="str">
        <x:v>720p</x:v>
      </x:c>
      <x:c r="E579" s="5" t="str">
        <x:v>—</x:v>
      </x:c>
      <x:c r="F579" s="5" t="n">
        <x:v>7</x:v>
      </x:c>
      <x:c r="G579" s="5" t="str">
        <x:v>—</x:v>
      </x:c>
      <x:c r="H579" s="5" t="str">
        <x:v>Без исходного файла</x:v>
      </x:c>
      <x:c r="I579" s="6" t="n">
        <x:v>34.65</x:v>
      </x:c>
      <x:c r="J579" s="6" t="n">
        <x:v>34.65</x:v>
      </x:c>
      <x:c r="K579" s="5" t="str">
        <x:v>Точная цена в редакторе</x:v>
      </x:c>
      <x:c r="L579" s="5" t="str">
        <x:v>видео</x:v>
      </x:c>
      <x:c r="M579" s="7" t="n">
        <x:f>IF(J579="","",ROUND(J579*Tariffs!$D$5,2))</x:f>
        <x:v>28.82</x:v>
      </x:c>
      <x:c r="N579" s="7" t="n">
        <x:f>IF(J579="","",ROUND(J579*Tariffs!$D$6,2))</x:f>
        <x:v>28.85</x:v>
      </x:c>
      <x:c r="O579" s="7" t="n">
        <x:f>IF(J579="","",ROUND(J579*Tariffs!$D$7,2))</x:f>
        <x:v>28.87</x:v>
      </x:c>
      <x:c r="P579" s="5" t="str">
        <x:v>https://neuromia.ru/app/video/grok</x:v>
      </x:c>
      <x:c r="Q579" s="8" t="n">
        <x:v>46282.375</x:v>
      </x:c>
      <x:c r="R579" s="5" t="str"/>
    </x:row>
    <x:row r="580" ht="22" customHeight="1">
      <x:c r="A580" s="5" t="str">
        <x:v>Видео</x:v>
      </x:c>
      <x:c r="B580" s="5" t="str">
        <x:v>Grok Imagine</x:v>
      </x:c>
      <x:c r="C580" s="5" t="str">
        <x:v>Текст → видео</x:v>
      </x:c>
      <x:c r="D580" s="5" t="str">
        <x:v>720p</x:v>
      </x:c>
      <x:c r="E580" s="5" t="str">
        <x:v>—</x:v>
      </x:c>
      <x:c r="F580" s="5" t="n">
        <x:v>8</x:v>
      </x:c>
      <x:c r="G580" s="5" t="str">
        <x:v>—</x:v>
      </x:c>
      <x:c r="H580" s="5" t="str">
        <x:v>Без исходного файла</x:v>
      </x:c>
      <x:c r="I580" s="6" t="n">
        <x:v>39.6</x:v>
      </x:c>
      <x:c r="J580" s="6" t="n">
        <x:v>39.6</x:v>
      </x:c>
      <x:c r="K580" s="5" t="str">
        <x:v>Точная цена в редакторе</x:v>
      </x:c>
      <x:c r="L580" s="5" t="str">
        <x:v>видео</x:v>
      </x:c>
      <x:c r="M580" s="7" t="n">
        <x:f>IF(J580="","",ROUND(J580*Tariffs!$D$5,2))</x:f>
        <x:v>32.93</x:v>
      </x:c>
      <x:c r="N580" s="7" t="n">
        <x:f>IF(J580="","",ROUND(J580*Tariffs!$D$6,2))</x:f>
        <x:v>32.97</x:v>
      </x:c>
      <x:c r="O580" s="7" t="n">
        <x:f>IF(J580="","",ROUND(J580*Tariffs!$D$7,2))</x:f>
        <x:v>32.99</x:v>
      </x:c>
      <x:c r="P580" s="5" t="str">
        <x:v>https://neuromia.ru/app/video/grok</x:v>
      </x:c>
      <x:c r="Q580" s="8" t="n">
        <x:v>46282.375</x:v>
      </x:c>
      <x:c r="R580" s="5" t="str"/>
    </x:row>
    <x:row r="581" ht="22" customHeight="1">
      <x:c r="A581" s="5" t="str">
        <x:v>Видео</x:v>
      </x:c>
      <x:c r="B581" s="5" t="str">
        <x:v>Grok Imagine</x:v>
      </x:c>
      <x:c r="C581" s="5" t="str">
        <x:v>Текст → видео</x:v>
      </x:c>
      <x:c r="D581" s="5" t="str">
        <x:v>720p</x:v>
      </x:c>
      <x:c r="E581" s="5" t="str">
        <x:v>—</x:v>
      </x:c>
      <x:c r="F581" s="5" t="n">
        <x:v>9</x:v>
      </x:c>
      <x:c r="G581" s="5" t="str">
        <x:v>—</x:v>
      </x:c>
      <x:c r="H581" s="5" t="str">
        <x:v>Без исходного файла</x:v>
      </x:c>
      <x:c r="I581" s="6" t="n">
        <x:v>44.55</x:v>
      </x:c>
      <x:c r="J581" s="6" t="n">
        <x:v>44.55</x:v>
      </x:c>
      <x:c r="K581" s="5" t="str">
        <x:v>Точная цена в редакторе</x:v>
      </x:c>
      <x:c r="L581" s="5" t="str">
        <x:v>видео</x:v>
      </x:c>
      <x:c r="M581" s="7" t="n">
        <x:f>IF(J581="","",ROUND(J581*Tariffs!$D$5,2))</x:f>
        <x:v>37.05</x:v>
      </x:c>
      <x:c r="N581" s="7" t="n">
        <x:f>IF(J581="","",ROUND(J581*Tariffs!$D$6,2))</x:f>
        <x:v>37.09</x:v>
      </x:c>
      <x:c r="O581" s="7" t="n">
        <x:f>IF(J581="","",ROUND(J581*Tariffs!$D$7,2))</x:f>
        <x:v>37.12</x:v>
      </x:c>
      <x:c r="P581" s="5" t="str">
        <x:v>https://neuromia.ru/app/video/grok</x:v>
      </x:c>
      <x:c r="Q581" s="8" t="n">
        <x:v>46282.375</x:v>
      </x:c>
      <x:c r="R581" s="5" t="str"/>
    </x:row>
    <x:row r="582" ht="22" customHeight="1">
      <x:c r="A582" s="5" t="str">
        <x:v>Видео</x:v>
      </x:c>
      <x:c r="B582" s="5" t="str">
        <x:v>Grok Imagine</x:v>
      </x:c>
      <x:c r="C582" s="5" t="str">
        <x:v>Текст → видео</x:v>
      </x:c>
      <x:c r="D582" s="5" t="str">
        <x:v>720p</x:v>
      </x:c>
      <x:c r="E582" s="5" t="str">
        <x:v>—</x:v>
      </x:c>
      <x:c r="F582" s="5" t="n">
        <x:v>10</x:v>
      </x:c>
      <x:c r="G582" s="5" t="str">
        <x:v>—</x:v>
      </x:c>
      <x:c r="H582" s="5" t="str">
        <x:v>Без исходного файла</x:v>
      </x:c>
      <x:c r="I582" s="6" t="n">
        <x:v>49.5</x:v>
      </x:c>
      <x:c r="J582" s="6" t="n">
        <x:v>49.5</x:v>
      </x:c>
      <x:c r="K582" s="5" t="str">
        <x:v>Точная цена в редакторе</x:v>
      </x:c>
      <x:c r="L582" s="5" t="str">
        <x:v>видео</x:v>
      </x:c>
      <x:c r="M582" s="7" t="n">
        <x:f>IF(J582="","",ROUND(J582*Tariffs!$D$5,2))</x:f>
        <x:v>41.17</x:v>
      </x:c>
      <x:c r="N582" s="7" t="n">
        <x:f>IF(J582="","",ROUND(J582*Tariffs!$D$6,2))</x:f>
        <x:v>41.21</x:v>
      </x:c>
      <x:c r="O582" s="7" t="n">
        <x:f>IF(J582="","",ROUND(J582*Tariffs!$D$7,2))</x:f>
        <x:v>41.24</x:v>
      </x:c>
      <x:c r="P582" s="5" t="str">
        <x:v>https://neuromia.ru/app/video/grok</x:v>
      </x:c>
      <x:c r="Q582" s="8" t="n">
        <x:v>46282.375</x:v>
      </x:c>
      <x:c r="R582" s="5" t="str"/>
    </x:row>
    <x:row r="583" ht="22" customHeight="1">
      <x:c r="A583" s="5" t="str">
        <x:v>Видео</x:v>
      </x:c>
      <x:c r="B583" s="5" t="str">
        <x:v>Grok Imagine</x:v>
      </x:c>
      <x:c r="C583" s="5" t="str">
        <x:v>Текст → видео</x:v>
      </x:c>
      <x:c r="D583" s="5" t="str">
        <x:v>720p</x:v>
      </x:c>
      <x:c r="E583" s="5" t="str">
        <x:v>—</x:v>
      </x:c>
      <x:c r="F583" s="5" t="n">
        <x:v>11</x:v>
      </x:c>
      <x:c r="G583" s="5" t="str">
        <x:v>—</x:v>
      </x:c>
      <x:c r="H583" s="5" t="str">
        <x:v>Без исходного файла</x:v>
      </x:c>
      <x:c r="I583" s="6" t="n">
        <x:v>54.45</x:v>
      </x:c>
      <x:c r="J583" s="6" t="n">
        <x:v>54.45</x:v>
      </x:c>
      <x:c r="K583" s="5" t="str">
        <x:v>Точная цена в редакторе</x:v>
      </x:c>
      <x:c r="L583" s="5" t="str">
        <x:v>видео</x:v>
      </x:c>
      <x:c r="M583" s="7" t="n">
        <x:f>IF(J583="","",ROUND(J583*Tariffs!$D$5,2))</x:f>
        <x:v>45.28</x:v>
      </x:c>
      <x:c r="N583" s="7" t="n">
        <x:f>IF(J583="","",ROUND(J583*Tariffs!$D$6,2))</x:f>
        <x:v>45.33</x:v>
      </x:c>
      <x:c r="O583" s="7" t="n">
        <x:f>IF(J583="","",ROUND(J583*Tariffs!$D$7,2))</x:f>
        <x:v>45.37</x:v>
      </x:c>
      <x:c r="P583" s="5" t="str">
        <x:v>https://neuromia.ru/app/video/grok</x:v>
      </x:c>
      <x:c r="Q583" s="8" t="n">
        <x:v>46282.375</x:v>
      </x:c>
      <x:c r="R583" s="5" t="str"/>
    </x:row>
    <x:row r="584" ht="22" customHeight="1">
      <x:c r="A584" s="5" t="str">
        <x:v>Видео</x:v>
      </x:c>
      <x:c r="B584" s="5" t="str">
        <x:v>Grok Imagine</x:v>
      </x:c>
      <x:c r="C584" s="5" t="str">
        <x:v>Текст → видео</x:v>
      </x:c>
      <x:c r="D584" s="5" t="str">
        <x:v>720p</x:v>
      </x:c>
      <x:c r="E584" s="5" t="str">
        <x:v>—</x:v>
      </x:c>
      <x:c r="F584" s="5" t="n">
        <x:v>12</x:v>
      </x:c>
      <x:c r="G584" s="5" t="str">
        <x:v>—</x:v>
      </x:c>
      <x:c r="H584" s="5" t="str">
        <x:v>Без исходного файла</x:v>
      </x:c>
      <x:c r="I584" s="6" t="n">
        <x:v>59.4</x:v>
      </x:c>
      <x:c r="J584" s="6" t="n">
        <x:v>59.4</x:v>
      </x:c>
      <x:c r="K584" s="5" t="str">
        <x:v>Точная цена в редакторе</x:v>
      </x:c>
      <x:c r="L584" s="5" t="str">
        <x:v>видео</x:v>
      </x:c>
      <x:c r="M584" s="7" t="n">
        <x:f>IF(J584="","",ROUND(J584*Tariffs!$D$5,2))</x:f>
        <x:v>49.4</x:v>
      </x:c>
      <x:c r="N584" s="7" t="n">
        <x:f>IF(J584="","",ROUND(J584*Tariffs!$D$6,2))</x:f>
        <x:v>49.45</x:v>
      </x:c>
      <x:c r="O584" s="7" t="n">
        <x:f>IF(J584="","",ROUND(J584*Tariffs!$D$7,2))</x:f>
        <x:v>49.49</x:v>
      </x:c>
      <x:c r="P584" s="5" t="str">
        <x:v>https://neuromia.ru/app/video/grok</x:v>
      </x:c>
      <x:c r="Q584" s="8" t="n">
        <x:v>46282.375</x:v>
      </x:c>
      <x:c r="R584" s="5" t="str"/>
    </x:row>
    <x:row r="585" ht="22" customHeight="1">
      <x:c r="A585" s="5" t="str">
        <x:v>Видео</x:v>
      </x:c>
      <x:c r="B585" s="5" t="str">
        <x:v>Grok Imagine</x:v>
      </x:c>
      <x:c r="C585" s="5" t="str">
        <x:v>Текст → видео</x:v>
      </x:c>
      <x:c r="D585" s="5" t="str">
        <x:v>720p</x:v>
      </x:c>
      <x:c r="E585" s="5" t="str">
        <x:v>—</x:v>
      </x:c>
      <x:c r="F585" s="5" t="n">
        <x:v>13</x:v>
      </x:c>
      <x:c r="G585" s="5" t="str">
        <x:v>—</x:v>
      </x:c>
      <x:c r="H585" s="5" t="str">
        <x:v>Без исходного файла</x:v>
      </x:c>
      <x:c r="I585" s="6" t="n">
        <x:v>64.35</x:v>
      </x:c>
      <x:c r="J585" s="6" t="n">
        <x:v>64.35</x:v>
      </x:c>
      <x:c r="K585" s="5" t="str">
        <x:v>Точная цена в редакторе</x:v>
      </x:c>
      <x:c r="L585" s="5" t="str">
        <x:v>видео</x:v>
      </x:c>
      <x:c r="M585" s="7" t="n">
        <x:f>IF(J585="","",ROUND(J585*Tariffs!$D$5,2))</x:f>
        <x:v>53.52</x:v>
      </x:c>
      <x:c r="N585" s="7" t="n">
        <x:f>IF(J585="","",ROUND(J585*Tariffs!$D$6,2))</x:f>
        <x:v>53.57</x:v>
      </x:c>
      <x:c r="O585" s="7" t="n">
        <x:f>IF(J585="","",ROUND(J585*Tariffs!$D$7,2))</x:f>
        <x:v>53.61</x:v>
      </x:c>
      <x:c r="P585" s="5" t="str">
        <x:v>https://neuromia.ru/app/video/grok</x:v>
      </x:c>
      <x:c r="Q585" s="8" t="n">
        <x:v>46282.375</x:v>
      </x:c>
      <x:c r="R585" s="5" t="str"/>
    </x:row>
    <x:row r="586" ht="22" customHeight="1">
      <x:c r="A586" s="5" t="str">
        <x:v>Видео</x:v>
      </x:c>
      <x:c r="B586" s="5" t="str">
        <x:v>Grok Imagine</x:v>
      </x:c>
      <x:c r="C586" s="5" t="str">
        <x:v>Текст → видео</x:v>
      </x:c>
      <x:c r="D586" s="5" t="str">
        <x:v>720p</x:v>
      </x:c>
      <x:c r="E586" s="5" t="str">
        <x:v>—</x:v>
      </x:c>
      <x:c r="F586" s="5" t="n">
        <x:v>14</x:v>
      </x:c>
      <x:c r="G586" s="5" t="str">
        <x:v>—</x:v>
      </x:c>
      <x:c r="H586" s="5" t="str">
        <x:v>Без исходного файла</x:v>
      </x:c>
      <x:c r="I586" s="6" t="n">
        <x:v>69.3</x:v>
      </x:c>
      <x:c r="J586" s="6" t="n">
        <x:v>69.3</x:v>
      </x:c>
      <x:c r="K586" s="5" t="str">
        <x:v>Точная цена в редакторе</x:v>
      </x:c>
      <x:c r="L586" s="5" t="str">
        <x:v>видео</x:v>
      </x:c>
      <x:c r="M586" s="7" t="n">
        <x:f>IF(J586="","",ROUND(J586*Tariffs!$D$5,2))</x:f>
        <x:v>57.63</x:v>
      </x:c>
      <x:c r="N586" s="7" t="n">
        <x:f>IF(J586="","",ROUND(J586*Tariffs!$D$6,2))</x:f>
        <x:v>57.69</x:v>
      </x:c>
      <x:c r="O586" s="7" t="n">
        <x:f>IF(J586="","",ROUND(J586*Tariffs!$D$7,2))</x:f>
        <x:v>57.74</x:v>
      </x:c>
      <x:c r="P586" s="5" t="str">
        <x:v>https://neuromia.ru/app/video/grok</x:v>
      </x:c>
      <x:c r="Q586" s="8" t="n">
        <x:v>46282.375</x:v>
      </x:c>
      <x:c r="R586" s="5" t="str"/>
    </x:row>
    <x:row r="587" ht="22" customHeight="1">
      <x:c r="A587" s="5" t="str">
        <x:v>Видео</x:v>
      </x:c>
      <x:c r="B587" s="5" t="str">
        <x:v>Grok Imagine</x:v>
      </x:c>
      <x:c r="C587" s="5" t="str">
        <x:v>Текст → видео</x:v>
      </x:c>
      <x:c r="D587" s="5" t="str">
        <x:v>720p</x:v>
      </x:c>
      <x:c r="E587" s="5" t="str">
        <x:v>—</x:v>
      </x:c>
      <x:c r="F587" s="5" t="n">
        <x:v>15</x:v>
      </x:c>
      <x:c r="G587" s="5" t="str">
        <x:v>—</x:v>
      </x:c>
      <x:c r="H587" s="5" t="str">
        <x:v>Без исходного файла</x:v>
      </x:c>
      <x:c r="I587" s="6" t="n">
        <x:v>74.25</x:v>
      </x:c>
      <x:c r="J587" s="6" t="n">
        <x:v>74.25</x:v>
      </x:c>
      <x:c r="K587" s="5" t="str">
        <x:v>Точная цена в редакторе</x:v>
      </x:c>
      <x:c r="L587" s="5" t="str">
        <x:v>видео</x:v>
      </x:c>
      <x:c r="M587" s="7" t="n">
        <x:f>IF(J587="","",ROUND(J587*Tariffs!$D$5,2))</x:f>
        <x:v>61.75</x:v>
      </x:c>
      <x:c r="N587" s="7" t="n">
        <x:f>IF(J587="","",ROUND(J587*Tariffs!$D$6,2))</x:f>
        <x:v>61.81</x:v>
      </x:c>
      <x:c r="O587" s="7" t="n">
        <x:f>IF(J587="","",ROUND(J587*Tariffs!$D$7,2))</x:f>
        <x:v>61.86</x:v>
      </x:c>
      <x:c r="P587" s="5" t="str">
        <x:v>https://neuromia.ru/app/video/grok</x:v>
      </x:c>
      <x:c r="Q587" s="8" t="n">
        <x:v>46282.375</x:v>
      </x:c>
      <x:c r="R587" s="5" t="str"/>
    </x:row>
    <x:row r="588" ht="22" customHeight="1">
      <x:c r="A588" s="5" t="str">
        <x:v>Видео</x:v>
      </x:c>
      <x:c r="B588" s="5" t="str">
        <x:v>Grok Imagine</x:v>
      </x:c>
      <x:c r="C588" s="5" t="str">
        <x:v>Текст → видео</x:v>
      </x:c>
      <x:c r="D588" s="5" t="str">
        <x:v>720p</x:v>
      </x:c>
      <x:c r="E588" s="5" t="str">
        <x:v>—</x:v>
      </x:c>
      <x:c r="F588" s="5" t="n">
        <x:v>16</x:v>
      </x:c>
      <x:c r="G588" s="5" t="str">
        <x:v>—</x:v>
      </x:c>
      <x:c r="H588" s="5" t="str">
        <x:v>Без исходного файла</x:v>
      </x:c>
      <x:c r="I588" s="6" t="n">
        <x:v>79.2</x:v>
      </x:c>
      <x:c r="J588" s="6" t="n">
        <x:v>79.2</x:v>
      </x:c>
      <x:c r="K588" s="5" t="str">
        <x:v>Точная цена в редакторе</x:v>
      </x:c>
      <x:c r="L588" s="5" t="str">
        <x:v>видео</x:v>
      </x:c>
      <x:c r="M588" s="7" t="n">
        <x:f>IF(J588="","",ROUND(J588*Tariffs!$D$5,2))</x:f>
        <x:v>65.87</x:v>
      </x:c>
      <x:c r="N588" s="7" t="n">
        <x:f>IF(J588="","",ROUND(J588*Tariffs!$D$6,2))</x:f>
        <x:v>65.93</x:v>
      </x:c>
      <x:c r="O588" s="7" t="n">
        <x:f>IF(J588="","",ROUND(J588*Tariffs!$D$7,2))</x:f>
        <x:v>65.99</x:v>
      </x:c>
      <x:c r="P588" s="5" t="str">
        <x:v>https://neuromia.ru/app/video/grok</x:v>
      </x:c>
      <x:c r="Q588" s="8" t="n">
        <x:v>46282.375</x:v>
      </x:c>
      <x:c r="R588" s="5" t="str"/>
    </x:row>
    <x:row r="589" ht="22" customHeight="1">
      <x:c r="A589" s="5" t="str">
        <x:v>Видео</x:v>
      </x:c>
      <x:c r="B589" s="5" t="str">
        <x:v>Grok Imagine</x:v>
      </x:c>
      <x:c r="C589" s="5" t="str">
        <x:v>Текст → видео</x:v>
      </x:c>
      <x:c r="D589" s="5" t="str">
        <x:v>720p</x:v>
      </x:c>
      <x:c r="E589" s="5" t="str">
        <x:v>—</x:v>
      </x:c>
      <x:c r="F589" s="5" t="n">
        <x:v>17</x:v>
      </x:c>
      <x:c r="G589" s="5" t="str">
        <x:v>—</x:v>
      </x:c>
      <x:c r="H589" s="5" t="str">
        <x:v>Без исходного файла</x:v>
      </x:c>
      <x:c r="I589" s="6" t="n">
        <x:v>84.15</x:v>
      </x:c>
      <x:c r="J589" s="6" t="n">
        <x:v>84.15</x:v>
      </x:c>
      <x:c r="K589" s="5" t="str">
        <x:v>Точная цена в редакторе</x:v>
      </x:c>
      <x:c r="L589" s="5" t="str">
        <x:v>видео</x:v>
      </x:c>
      <x:c r="M589" s="7" t="n">
        <x:f>IF(J589="","",ROUND(J589*Tariffs!$D$5,2))</x:f>
        <x:v>69.98</x:v>
      </x:c>
      <x:c r="N589" s="7" t="n">
        <x:f>IF(J589="","",ROUND(J589*Tariffs!$D$6,2))</x:f>
        <x:v>70.05</x:v>
      </x:c>
      <x:c r="O589" s="7" t="n">
        <x:f>IF(J589="","",ROUND(J589*Tariffs!$D$7,2))</x:f>
        <x:v>70.11</x:v>
      </x:c>
      <x:c r="P589" s="5" t="str">
        <x:v>https://neuromia.ru/app/video/grok</x:v>
      </x:c>
      <x:c r="Q589" s="8" t="n">
        <x:v>46282.375</x:v>
      </x:c>
      <x:c r="R589" s="5" t="str"/>
    </x:row>
    <x:row r="590" ht="22" customHeight="1">
      <x:c r="A590" s="5" t="str">
        <x:v>Видео</x:v>
      </x:c>
      <x:c r="B590" s="5" t="str">
        <x:v>Grok Imagine</x:v>
      </x:c>
      <x:c r="C590" s="5" t="str">
        <x:v>Текст → видео</x:v>
      </x:c>
      <x:c r="D590" s="5" t="str">
        <x:v>720p</x:v>
      </x:c>
      <x:c r="E590" s="5" t="str">
        <x:v>—</x:v>
      </x:c>
      <x:c r="F590" s="5" t="n">
        <x:v>18</x:v>
      </x:c>
      <x:c r="G590" s="5" t="str">
        <x:v>—</x:v>
      </x:c>
      <x:c r="H590" s="5" t="str">
        <x:v>Без исходного файла</x:v>
      </x:c>
      <x:c r="I590" s="6" t="n">
        <x:v>89.1</x:v>
      </x:c>
      <x:c r="J590" s="6" t="n">
        <x:v>89.1</x:v>
      </x:c>
      <x:c r="K590" s="5" t="str">
        <x:v>Точная цена в редакторе</x:v>
      </x:c>
      <x:c r="L590" s="5" t="str">
        <x:v>видео</x:v>
      </x:c>
      <x:c r="M590" s="7" t="n">
        <x:f>IF(J590="","",ROUND(J590*Tariffs!$D$5,2))</x:f>
        <x:v>74.1</x:v>
      </x:c>
      <x:c r="N590" s="7" t="n">
        <x:f>IF(J590="","",ROUND(J590*Tariffs!$D$6,2))</x:f>
        <x:v>74.18</x:v>
      </x:c>
      <x:c r="O590" s="7" t="n">
        <x:f>IF(J590="","",ROUND(J590*Tariffs!$D$7,2))</x:f>
        <x:v>74.24</x:v>
      </x:c>
      <x:c r="P590" s="5" t="str">
        <x:v>https://neuromia.ru/app/video/grok</x:v>
      </x:c>
      <x:c r="Q590" s="8" t="n">
        <x:v>46282.375</x:v>
      </x:c>
      <x:c r="R590" s="5" t="str"/>
    </x:row>
    <x:row r="591" ht="22" customHeight="1">
      <x:c r="A591" s="5" t="str">
        <x:v>Видео</x:v>
      </x:c>
      <x:c r="B591" s="5" t="str">
        <x:v>Grok Imagine</x:v>
      </x:c>
      <x:c r="C591" s="5" t="str">
        <x:v>Текст → видео</x:v>
      </x:c>
      <x:c r="D591" s="5" t="str">
        <x:v>720p</x:v>
      </x:c>
      <x:c r="E591" s="5" t="str">
        <x:v>—</x:v>
      </x:c>
      <x:c r="F591" s="5" t="n">
        <x:v>19</x:v>
      </x:c>
      <x:c r="G591" s="5" t="str">
        <x:v>—</x:v>
      </x:c>
      <x:c r="H591" s="5" t="str">
        <x:v>Без исходного файла</x:v>
      </x:c>
      <x:c r="I591" s="6" t="n">
        <x:v>94.05</x:v>
      </x:c>
      <x:c r="J591" s="6" t="n">
        <x:v>94.05</x:v>
      </x:c>
      <x:c r="K591" s="5" t="str">
        <x:v>Точная цена в редакторе</x:v>
      </x:c>
      <x:c r="L591" s="5" t="str">
        <x:v>видео</x:v>
      </x:c>
      <x:c r="M591" s="7" t="n">
        <x:f>IF(J591="","",ROUND(J591*Tariffs!$D$5,2))</x:f>
        <x:v>78.22</x:v>
      </x:c>
      <x:c r="N591" s="7" t="n">
        <x:f>IF(J591="","",ROUND(J591*Tariffs!$D$6,2))</x:f>
        <x:v>78.3</x:v>
      </x:c>
      <x:c r="O591" s="7" t="n">
        <x:f>IF(J591="","",ROUND(J591*Tariffs!$D$7,2))</x:f>
        <x:v>78.36</x:v>
      </x:c>
      <x:c r="P591" s="5" t="str">
        <x:v>https://neuromia.ru/app/video/grok</x:v>
      </x:c>
      <x:c r="Q591" s="8" t="n">
        <x:v>46282.375</x:v>
      </x:c>
      <x:c r="R591" s="5" t="str"/>
    </x:row>
    <x:row r="592" ht="22" customHeight="1">
      <x:c r="A592" s="5" t="str">
        <x:v>Видео</x:v>
      </x:c>
      <x:c r="B592" s="5" t="str">
        <x:v>Grok Imagine</x:v>
      </x:c>
      <x:c r="C592" s="5" t="str">
        <x:v>Текст → видео</x:v>
      </x:c>
      <x:c r="D592" s="5" t="str">
        <x:v>720p</x:v>
      </x:c>
      <x:c r="E592" s="5" t="str">
        <x:v>—</x:v>
      </x:c>
      <x:c r="F592" s="5" t="n">
        <x:v>20</x:v>
      </x:c>
      <x:c r="G592" s="5" t="str">
        <x:v>—</x:v>
      </x:c>
      <x:c r="H592" s="5" t="str">
        <x:v>Без исходного файла</x:v>
      </x:c>
      <x:c r="I592" s="6" t="n">
        <x:v>99</x:v>
      </x:c>
      <x:c r="J592" s="6" t="n">
        <x:v>99</x:v>
      </x:c>
      <x:c r="K592" s="5" t="str">
        <x:v>Точная цена в редакторе</x:v>
      </x:c>
      <x:c r="L592" s="5" t="str">
        <x:v>видео</x:v>
      </x:c>
      <x:c r="M592" s="7" t="n">
        <x:f>IF(J592="","",ROUND(J592*Tariffs!$D$5,2))</x:f>
        <x:v>82.34</x:v>
      </x:c>
      <x:c r="N592" s="7" t="n">
        <x:f>IF(J592="","",ROUND(J592*Tariffs!$D$6,2))</x:f>
        <x:v>82.42</x:v>
      </x:c>
      <x:c r="O592" s="7" t="n">
        <x:f>IF(J592="","",ROUND(J592*Tariffs!$D$7,2))</x:f>
        <x:v>82.48</x:v>
      </x:c>
      <x:c r="P592" s="5" t="str">
        <x:v>https://neuromia.ru/app/video/grok</x:v>
      </x:c>
      <x:c r="Q592" s="8" t="n">
        <x:v>46282.375</x:v>
      </x:c>
      <x:c r="R592" s="5" t="str"/>
    </x:row>
    <x:row r="593" ht="22" customHeight="1">
      <x:c r="A593" s="5" t="str">
        <x:v>Видео</x:v>
      </x:c>
      <x:c r="B593" s="5" t="str">
        <x:v>Grok Imagine</x:v>
      </x:c>
      <x:c r="C593" s="5" t="str">
        <x:v>Текст → видео</x:v>
      </x:c>
      <x:c r="D593" s="5" t="str">
        <x:v>720p</x:v>
      </x:c>
      <x:c r="E593" s="5" t="str">
        <x:v>—</x:v>
      </x:c>
      <x:c r="F593" s="5" t="n">
        <x:v>21</x:v>
      </x:c>
      <x:c r="G593" s="5" t="str">
        <x:v>—</x:v>
      </x:c>
      <x:c r="H593" s="5" t="str">
        <x:v>Без исходного файла</x:v>
      </x:c>
      <x:c r="I593" s="6" t="n">
        <x:v>103.95</x:v>
      </x:c>
      <x:c r="J593" s="6" t="n">
        <x:v>103.95</x:v>
      </x:c>
      <x:c r="K593" s="5" t="str">
        <x:v>Точная цена в редакторе</x:v>
      </x:c>
      <x:c r="L593" s="5" t="str">
        <x:v>видео</x:v>
      </x:c>
      <x:c r="M593" s="7" t="n">
        <x:f>IF(J593="","",ROUND(J593*Tariffs!$D$5,2))</x:f>
        <x:v>86.45</x:v>
      </x:c>
      <x:c r="N593" s="7" t="n">
        <x:f>IF(J593="","",ROUND(J593*Tariffs!$D$6,2))</x:f>
        <x:v>86.54</x:v>
      </x:c>
      <x:c r="O593" s="7" t="n">
        <x:f>IF(J593="","",ROUND(J593*Tariffs!$D$7,2))</x:f>
        <x:v>86.61</x:v>
      </x:c>
      <x:c r="P593" s="5" t="str">
        <x:v>https://neuromia.ru/app/video/grok</x:v>
      </x:c>
      <x:c r="Q593" s="8" t="n">
        <x:v>46282.375</x:v>
      </x:c>
      <x:c r="R593" s="5" t="str"/>
    </x:row>
    <x:row r="594" ht="22" customHeight="1">
      <x:c r="A594" s="5" t="str">
        <x:v>Видео</x:v>
      </x:c>
      <x:c r="B594" s="5" t="str">
        <x:v>Grok Imagine</x:v>
      </x:c>
      <x:c r="C594" s="5" t="str">
        <x:v>Текст → видео</x:v>
      </x:c>
      <x:c r="D594" s="5" t="str">
        <x:v>720p</x:v>
      </x:c>
      <x:c r="E594" s="5" t="str">
        <x:v>—</x:v>
      </x:c>
      <x:c r="F594" s="5" t="n">
        <x:v>22</x:v>
      </x:c>
      <x:c r="G594" s="5" t="str">
        <x:v>—</x:v>
      </x:c>
      <x:c r="H594" s="5" t="str">
        <x:v>Без исходного файла</x:v>
      </x:c>
      <x:c r="I594" s="6" t="n">
        <x:v>108.9</x:v>
      </x:c>
      <x:c r="J594" s="6" t="n">
        <x:v>108.9</x:v>
      </x:c>
      <x:c r="K594" s="5" t="str">
        <x:v>Точная цена в редакторе</x:v>
      </x:c>
      <x:c r="L594" s="5" t="str">
        <x:v>видео</x:v>
      </x:c>
      <x:c r="M594" s="7" t="n">
        <x:f>IF(J594="","",ROUND(J594*Tariffs!$D$5,2))</x:f>
        <x:v>90.57</x:v>
      </x:c>
      <x:c r="N594" s="7" t="n">
        <x:f>IF(J594="","",ROUND(J594*Tariffs!$D$6,2))</x:f>
        <x:v>90.66</x:v>
      </x:c>
      <x:c r="O594" s="7" t="n">
        <x:f>IF(J594="","",ROUND(J594*Tariffs!$D$7,2))</x:f>
        <x:v>90.73</x:v>
      </x:c>
      <x:c r="P594" s="5" t="str">
        <x:v>https://neuromia.ru/app/video/grok</x:v>
      </x:c>
      <x:c r="Q594" s="8" t="n">
        <x:v>46282.375</x:v>
      </x:c>
      <x:c r="R594" s="5" t="str"/>
    </x:row>
    <x:row r="595" ht="22" customHeight="1">
      <x:c r="A595" s="5" t="str">
        <x:v>Видео</x:v>
      </x:c>
      <x:c r="B595" s="5" t="str">
        <x:v>Grok Imagine</x:v>
      </x:c>
      <x:c r="C595" s="5" t="str">
        <x:v>Текст → видео</x:v>
      </x:c>
      <x:c r="D595" s="5" t="str">
        <x:v>720p</x:v>
      </x:c>
      <x:c r="E595" s="5" t="str">
        <x:v>—</x:v>
      </x:c>
      <x:c r="F595" s="5" t="n">
        <x:v>23</x:v>
      </x:c>
      <x:c r="G595" s="5" t="str">
        <x:v>—</x:v>
      </x:c>
      <x:c r="H595" s="5" t="str">
        <x:v>Без исходного файла</x:v>
      </x:c>
      <x:c r="I595" s="6" t="n">
        <x:v>113.85</x:v>
      </x:c>
      <x:c r="J595" s="6" t="n">
        <x:v>113.85</x:v>
      </x:c>
      <x:c r="K595" s="5" t="str">
        <x:v>Точная цена в редакторе</x:v>
      </x:c>
      <x:c r="L595" s="5" t="str">
        <x:v>видео</x:v>
      </x:c>
      <x:c r="M595" s="7" t="n">
        <x:f>IF(J595="","",ROUND(J595*Tariffs!$D$5,2))</x:f>
        <x:v>94.69</x:v>
      </x:c>
      <x:c r="N595" s="7" t="n">
        <x:f>IF(J595="","",ROUND(J595*Tariffs!$D$6,2))</x:f>
        <x:v>94.78</x:v>
      </x:c>
      <x:c r="O595" s="7" t="n">
        <x:f>IF(J595="","",ROUND(J595*Tariffs!$D$7,2))</x:f>
        <x:v>94.86</x:v>
      </x:c>
      <x:c r="P595" s="5" t="str">
        <x:v>https://neuromia.ru/app/video/grok</x:v>
      </x:c>
      <x:c r="Q595" s="8" t="n">
        <x:v>46282.375</x:v>
      </x:c>
      <x:c r="R595" s="5" t="str"/>
    </x:row>
    <x:row r="596" ht="22" customHeight="1">
      <x:c r="A596" s="5" t="str">
        <x:v>Видео</x:v>
      </x:c>
      <x:c r="B596" s="5" t="str">
        <x:v>Grok Imagine</x:v>
      </x:c>
      <x:c r="C596" s="5" t="str">
        <x:v>Текст → видео</x:v>
      </x:c>
      <x:c r="D596" s="5" t="str">
        <x:v>720p</x:v>
      </x:c>
      <x:c r="E596" s="5" t="str">
        <x:v>—</x:v>
      </x:c>
      <x:c r="F596" s="5" t="n">
        <x:v>24</x:v>
      </x:c>
      <x:c r="G596" s="5" t="str">
        <x:v>—</x:v>
      </x:c>
      <x:c r="H596" s="5" t="str">
        <x:v>Без исходного файла</x:v>
      </x:c>
      <x:c r="I596" s="6" t="n">
        <x:v>118.8</x:v>
      </x:c>
      <x:c r="J596" s="6" t="n">
        <x:v>118.8</x:v>
      </x:c>
      <x:c r="K596" s="5" t="str">
        <x:v>Точная цена в редакторе</x:v>
      </x:c>
      <x:c r="L596" s="5" t="str">
        <x:v>видео</x:v>
      </x:c>
      <x:c r="M596" s="7" t="n">
        <x:f>IF(J596="","",ROUND(J596*Tariffs!$D$5,2))</x:f>
        <x:v>98.8</x:v>
      </x:c>
      <x:c r="N596" s="7" t="n">
        <x:f>IF(J596="","",ROUND(J596*Tariffs!$D$6,2))</x:f>
        <x:v>98.9</x:v>
      </x:c>
      <x:c r="O596" s="7" t="n">
        <x:f>IF(J596="","",ROUND(J596*Tariffs!$D$7,2))</x:f>
        <x:v>98.98</x:v>
      </x:c>
      <x:c r="P596" s="5" t="str">
        <x:v>https://neuromia.ru/app/video/grok</x:v>
      </x:c>
      <x:c r="Q596" s="8" t="n">
        <x:v>46282.375</x:v>
      </x:c>
      <x:c r="R596" s="5" t="str"/>
    </x:row>
    <x:row r="597" ht="22" customHeight="1">
      <x:c r="A597" s="5" t="str">
        <x:v>Видео</x:v>
      </x:c>
      <x:c r="B597" s="5" t="str">
        <x:v>Grok Imagine</x:v>
      </x:c>
      <x:c r="C597" s="5" t="str">
        <x:v>Текст → видео</x:v>
      </x:c>
      <x:c r="D597" s="5" t="str">
        <x:v>720p</x:v>
      </x:c>
      <x:c r="E597" s="5" t="str">
        <x:v>—</x:v>
      </x:c>
      <x:c r="F597" s="5" t="n">
        <x:v>25</x:v>
      </x:c>
      <x:c r="G597" s="5" t="str">
        <x:v>—</x:v>
      </x:c>
      <x:c r="H597" s="5" t="str">
        <x:v>Без исходного файла</x:v>
      </x:c>
      <x:c r="I597" s="6" t="n">
        <x:v>123.75</x:v>
      </x:c>
      <x:c r="J597" s="6" t="n">
        <x:v>123.75</x:v>
      </x:c>
      <x:c r="K597" s="5" t="str">
        <x:v>Точная цена в редакторе</x:v>
      </x:c>
      <x:c r="L597" s="5" t="str">
        <x:v>видео</x:v>
      </x:c>
      <x:c r="M597" s="7" t="n">
        <x:f>IF(J597="","",ROUND(J597*Tariffs!$D$5,2))</x:f>
        <x:v>102.92</x:v>
      </x:c>
      <x:c r="N597" s="7" t="n">
        <x:f>IF(J597="","",ROUND(J597*Tariffs!$D$6,2))</x:f>
        <x:v>103.02</x:v>
      </x:c>
      <x:c r="O597" s="7" t="n">
        <x:f>IF(J597="","",ROUND(J597*Tariffs!$D$7,2))</x:f>
        <x:v>103.1</x:v>
      </x:c>
      <x:c r="P597" s="5" t="str">
        <x:v>https://neuromia.ru/app/video/grok</x:v>
      </x:c>
      <x:c r="Q597" s="8" t="n">
        <x:v>46282.375</x:v>
      </x:c>
      <x:c r="R597" s="5" t="str"/>
    </x:row>
    <x:row r="598" ht="22" customHeight="1">
      <x:c r="A598" s="5" t="str">
        <x:v>Видео</x:v>
      </x:c>
      <x:c r="B598" s="5" t="str">
        <x:v>Grok Imagine</x:v>
      </x:c>
      <x:c r="C598" s="5" t="str">
        <x:v>Текст → видео</x:v>
      </x:c>
      <x:c r="D598" s="5" t="str">
        <x:v>720p</x:v>
      </x:c>
      <x:c r="E598" s="5" t="str">
        <x:v>—</x:v>
      </x:c>
      <x:c r="F598" s="5" t="n">
        <x:v>26</x:v>
      </x:c>
      <x:c r="G598" s="5" t="str">
        <x:v>—</x:v>
      </x:c>
      <x:c r="H598" s="5" t="str">
        <x:v>Без исходного файла</x:v>
      </x:c>
      <x:c r="I598" s="6" t="n">
        <x:v>128.7</x:v>
      </x:c>
      <x:c r="J598" s="6" t="n">
        <x:v>128.7</x:v>
      </x:c>
      <x:c r="K598" s="5" t="str">
        <x:v>Точная цена в редакторе</x:v>
      </x:c>
      <x:c r="L598" s="5" t="str">
        <x:v>видео</x:v>
      </x:c>
      <x:c r="M598" s="7" t="n">
        <x:f>IF(J598="","",ROUND(J598*Tariffs!$D$5,2))</x:f>
        <x:v>107.04</x:v>
      </x:c>
      <x:c r="N598" s="7" t="n">
        <x:f>IF(J598="","",ROUND(J598*Tariffs!$D$6,2))</x:f>
        <x:v>107.14</x:v>
      </x:c>
      <x:c r="O598" s="7" t="n">
        <x:f>IF(J598="","",ROUND(J598*Tariffs!$D$7,2))</x:f>
        <x:v>107.23</x:v>
      </x:c>
      <x:c r="P598" s="5" t="str">
        <x:v>https://neuromia.ru/app/video/grok</x:v>
      </x:c>
      <x:c r="Q598" s="8" t="n">
        <x:v>46282.375</x:v>
      </x:c>
      <x:c r="R598" s="5" t="str"/>
    </x:row>
    <x:row r="599" ht="22" customHeight="1">
      <x:c r="A599" s="5" t="str">
        <x:v>Видео</x:v>
      </x:c>
      <x:c r="B599" s="5" t="str">
        <x:v>Grok Imagine</x:v>
      </x:c>
      <x:c r="C599" s="5" t="str">
        <x:v>Текст → видео</x:v>
      </x:c>
      <x:c r="D599" s="5" t="str">
        <x:v>720p</x:v>
      </x:c>
      <x:c r="E599" s="5" t="str">
        <x:v>—</x:v>
      </x:c>
      <x:c r="F599" s="5" t="n">
        <x:v>27</x:v>
      </x:c>
      <x:c r="G599" s="5" t="str">
        <x:v>—</x:v>
      </x:c>
      <x:c r="H599" s="5" t="str">
        <x:v>Без исходного файла</x:v>
      </x:c>
      <x:c r="I599" s="6" t="n">
        <x:v>133.65</x:v>
      </x:c>
      <x:c r="J599" s="6" t="n">
        <x:v>133.65</x:v>
      </x:c>
      <x:c r="K599" s="5" t="str">
        <x:v>Точная цена в редакторе</x:v>
      </x:c>
      <x:c r="L599" s="5" t="str">
        <x:v>видео</x:v>
      </x:c>
      <x:c r="M599" s="7" t="n">
        <x:f>IF(J599="","",ROUND(J599*Tariffs!$D$5,2))</x:f>
        <x:v>111.15</x:v>
      </x:c>
      <x:c r="N599" s="7" t="n">
        <x:f>IF(J599="","",ROUND(J599*Tariffs!$D$6,2))</x:f>
        <x:v>111.26</x:v>
      </x:c>
      <x:c r="O599" s="7" t="n">
        <x:f>IF(J599="","",ROUND(J599*Tariffs!$D$7,2))</x:f>
        <x:v>111.35</x:v>
      </x:c>
      <x:c r="P599" s="5" t="str">
        <x:v>https://neuromia.ru/app/video/grok</x:v>
      </x:c>
      <x:c r="Q599" s="8" t="n">
        <x:v>46282.375</x:v>
      </x:c>
      <x:c r="R599" s="5" t="str"/>
    </x:row>
    <x:row r="600" ht="22" customHeight="1">
      <x:c r="A600" s="5" t="str">
        <x:v>Видео</x:v>
      </x:c>
      <x:c r="B600" s="5" t="str">
        <x:v>Grok Imagine</x:v>
      </x:c>
      <x:c r="C600" s="5" t="str">
        <x:v>Текст → видео</x:v>
      </x:c>
      <x:c r="D600" s="5" t="str">
        <x:v>720p</x:v>
      </x:c>
      <x:c r="E600" s="5" t="str">
        <x:v>—</x:v>
      </x:c>
      <x:c r="F600" s="5" t="n">
        <x:v>28</x:v>
      </x:c>
      <x:c r="G600" s="5" t="str">
        <x:v>—</x:v>
      </x:c>
      <x:c r="H600" s="5" t="str">
        <x:v>Без исходного файла</x:v>
      </x:c>
      <x:c r="I600" s="6" t="n">
        <x:v>138.6</x:v>
      </x:c>
      <x:c r="J600" s="6" t="n">
        <x:v>138.6</x:v>
      </x:c>
      <x:c r="K600" s="5" t="str">
        <x:v>Точная цена в редакторе</x:v>
      </x:c>
      <x:c r="L600" s="5" t="str">
        <x:v>видео</x:v>
      </x:c>
      <x:c r="M600" s="7" t="n">
        <x:f>IF(J600="","",ROUND(J600*Tariffs!$D$5,2))</x:f>
        <x:v>115.27</x:v>
      </x:c>
      <x:c r="N600" s="7" t="n">
        <x:f>IF(J600="","",ROUND(J600*Tariffs!$D$6,2))</x:f>
        <x:v>115.38</x:v>
      </x:c>
      <x:c r="O600" s="7" t="n">
        <x:f>IF(J600="","",ROUND(J600*Tariffs!$D$7,2))</x:f>
        <x:v>115.48</x:v>
      </x:c>
      <x:c r="P600" s="5" t="str">
        <x:v>https://neuromia.ru/app/video/grok</x:v>
      </x:c>
      <x:c r="Q600" s="8" t="n">
        <x:v>46282.375</x:v>
      </x:c>
      <x:c r="R600" s="5" t="str"/>
    </x:row>
    <x:row r="601" ht="22" customHeight="1">
      <x:c r="A601" s="5" t="str">
        <x:v>Видео</x:v>
      </x:c>
      <x:c r="B601" s="5" t="str">
        <x:v>Grok Imagine</x:v>
      </x:c>
      <x:c r="C601" s="5" t="str">
        <x:v>Текст → видео</x:v>
      </x:c>
      <x:c r="D601" s="5" t="str">
        <x:v>720p</x:v>
      </x:c>
      <x:c r="E601" s="5" t="str">
        <x:v>—</x:v>
      </x:c>
      <x:c r="F601" s="5" t="n">
        <x:v>29</x:v>
      </x:c>
      <x:c r="G601" s="5" t="str">
        <x:v>—</x:v>
      </x:c>
      <x:c r="H601" s="5" t="str">
        <x:v>Без исходного файла</x:v>
      </x:c>
      <x:c r="I601" s="6" t="n">
        <x:v>143.55</x:v>
      </x:c>
      <x:c r="J601" s="6" t="n">
        <x:v>143.55</x:v>
      </x:c>
      <x:c r="K601" s="5" t="str">
        <x:v>Точная цена в редакторе</x:v>
      </x:c>
      <x:c r="L601" s="5" t="str">
        <x:v>видео</x:v>
      </x:c>
      <x:c r="M601" s="7" t="n">
        <x:f>IF(J601="","",ROUND(J601*Tariffs!$D$5,2))</x:f>
        <x:v>119.39</x:v>
      </x:c>
      <x:c r="N601" s="7" t="n">
        <x:f>IF(J601="","",ROUND(J601*Tariffs!$D$6,2))</x:f>
        <x:v>119.51</x:v>
      </x:c>
      <x:c r="O601" s="7" t="n">
        <x:f>IF(J601="","",ROUND(J601*Tariffs!$D$7,2))</x:f>
        <x:v>119.6</x:v>
      </x:c>
      <x:c r="P601" s="5" t="str">
        <x:v>https://neuromia.ru/app/video/grok</x:v>
      </x:c>
      <x:c r="Q601" s="8" t="n">
        <x:v>46282.375</x:v>
      </x:c>
      <x:c r="R601" s="5" t="str"/>
    </x:row>
    <x:row r="602" ht="22" customHeight="1">
      <x:c r="A602" s="5" t="str">
        <x:v>Видео</x:v>
      </x:c>
      <x:c r="B602" s="5" t="str">
        <x:v>Grok Imagine</x:v>
      </x:c>
      <x:c r="C602" s="5" t="str">
        <x:v>Текст → видео</x:v>
      </x:c>
      <x:c r="D602" s="5" t="str">
        <x:v>720p</x:v>
      </x:c>
      <x:c r="E602" s="5" t="str">
        <x:v>—</x:v>
      </x:c>
      <x:c r="F602" s="5" t="n">
        <x:v>30</x:v>
      </x:c>
      <x:c r="G602" s="5" t="str">
        <x:v>—</x:v>
      </x:c>
      <x:c r="H602" s="5" t="str">
        <x:v>Без исходного файла</x:v>
      </x:c>
      <x:c r="I602" s="6" t="n">
        <x:v>148.5</x:v>
      </x:c>
      <x:c r="J602" s="6" t="n">
        <x:v>148.5</x:v>
      </x:c>
      <x:c r="K602" s="5" t="str">
        <x:v>Точная цена в редакторе</x:v>
      </x:c>
      <x:c r="L602" s="5" t="str">
        <x:v>видео</x:v>
      </x:c>
      <x:c r="M602" s="7" t="n">
        <x:f>IF(J602="","",ROUND(J602*Tariffs!$D$5,2))</x:f>
        <x:v>123.5</x:v>
      </x:c>
      <x:c r="N602" s="7" t="n">
        <x:f>IF(J602="","",ROUND(J602*Tariffs!$D$6,2))</x:f>
        <x:v>123.63</x:v>
      </x:c>
      <x:c r="O602" s="7" t="n">
        <x:f>IF(J602="","",ROUND(J602*Tariffs!$D$7,2))</x:f>
        <x:v>123.73</x:v>
      </x:c>
      <x:c r="P602" s="5" t="str">
        <x:v>https://neuromia.ru/app/video/grok</x:v>
      </x:c>
      <x:c r="Q602" s="8" t="n">
        <x:v>46282.375</x:v>
      </x:c>
      <x:c r="R602" s="5" t="str"/>
    </x:row>
    <x:row r="603" ht="22" customHeight="1">
      <x:c r="A603" s="5" t="str">
        <x:v>Видео</x:v>
      </x:c>
      <x:c r="B603" s="5" t="str">
        <x:v>Grok Imagine</x:v>
      </x:c>
      <x:c r="C603" s="5" t="str">
        <x:v>Текст → видео</x:v>
      </x:c>
      <x:c r="D603" s="5" t="str">
        <x:v>1080p</x:v>
      </x:c>
      <x:c r="E603" s="5" t="str">
        <x:v>—</x:v>
      </x:c>
      <x:c r="F603" s="5" t="n">
        <x:v>6</x:v>
      </x:c>
      <x:c r="G603" s="5" t="str">
        <x:v>—</x:v>
      </x:c>
      <x:c r="H603" s="5" t="str">
        <x:v>Без исходного файла</x:v>
      </x:c>
      <x:c r="I603" s="6" t="n">
        <x:v>52.8</x:v>
      </x:c>
      <x:c r="J603" s="6" t="n">
        <x:v>52.8</x:v>
      </x:c>
      <x:c r="K603" s="5" t="str">
        <x:v>Точная цена в редакторе</x:v>
      </x:c>
      <x:c r="L603" s="5" t="str">
        <x:v>видео</x:v>
      </x:c>
      <x:c r="M603" s="7" t="n">
        <x:f>IF(J603="","",ROUND(J603*Tariffs!$D$5,2))</x:f>
        <x:v>43.91</x:v>
      </x:c>
      <x:c r="N603" s="7" t="n">
        <x:f>IF(J603="","",ROUND(J603*Tariffs!$D$6,2))</x:f>
        <x:v>43.96</x:v>
      </x:c>
      <x:c r="O603" s="7" t="n">
        <x:f>IF(J603="","",ROUND(J603*Tariffs!$D$7,2))</x:f>
        <x:v>43.99</x:v>
      </x:c>
      <x:c r="P603" s="5" t="str">
        <x:v>https://neuromia.ru/app/video/grok</x:v>
      </x:c>
      <x:c r="Q603" s="8" t="n">
        <x:v>46282.375</x:v>
      </x:c>
      <x:c r="R603" s="5" t="str"/>
    </x:row>
    <x:row r="604" ht="22" customHeight="1">
      <x:c r="A604" s="5" t="str">
        <x:v>Видео</x:v>
      </x:c>
      <x:c r="B604" s="5" t="str">
        <x:v>Grok Imagine</x:v>
      </x:c>
      <x:c r="C604" s="5" t="str">
        <x:v>Текст → видео</x:v>
      </x:c>
      <x:c r="D604" s="5" t="str">
        <x:v>1080p</x:v>
      </x:c>
      <x:c r="E604" s="5" t="str">
        <x:v>—</x:v>
      </x:c>
      <x:c r="F604" s="5" t="n">
        <x:v>7</x:v>
      </x:c>
      <x:c r="G604" s="5" t="str">
        <x:v>—</x:v>
      </x:c>
      <x:c r="H604" s="5" t="str">
        <x:v>Без исходного файла</x:v>
      </x:c>
      <x:c r="I604" s="6" t="n">
        <x:v>61.6</x:v>
      </x:c>
      <x:c r="J604" s="6" t="n">
        <x:v>61.6</x:v>
      </x:c>
      <x:c r="K604" s="5" t="str">
        <x:v>Точная цена в редакторе</x:v>
      </x:c>
      <x:c r="L604" s="5" t="str">
        <x:v>видео</x:v>
      </x:c>
      <x:c r="M604" s="7" t="n">
        <x:f>IF(J604="","",ROUND(J604*Tariffs!$D$5,2))</x:f>
        <x:v>51.23</x:v>
      </x:c>
      <x:c r="N604" s="7" t="n">
        <x:f>IF(J604="","",ROUND(J604*Tariffs!$D$6,2))</x:f>
        <x:v>51.28</x:v>
      </x:c>
      <x:c r="O604" s="7" t="n">
        <x:f>IF(J604="","",ROUND(J604*Tariffs!$D$7,2))</x:f>
        <x:v>51.32</x:v>
      </x:c>
      <x:c r="P604" s="5" t="str">
        <x:v>https://neuromia.ru/app/video/grok</x:v>
      </x:c>
      <x:c r="Q604" s="8" t="n">
        <x:v>46282.375</x:v>
      </x:c>
      <x:c r="R604" s="5" t="str"/>
    </x:row>
    <x:row r="605" ht="22" customHeight="1">
      <x:c r="A605" s="5" t="str">
        <x:v>Видео</x:v>
      </x:c>
      <x:c r="B605" s="5" t="str">
        <x:v>Grok Imagine</x:v>
      </x:c>
      <x:c r="C605" s="5" t="str">
        <x:v>Текст → видео</x:v>
      </x:c>
      <x:c r="D605" s="5" t="str">
        <x:v>1080p</x:v>
      </x:c>
      <x:c r="E605" s="5" t="str">
        <x:v>—</x:v>
      </x:c>
      <x:c r="F605" s="5" t="n">
        <x:v>8</x:v>
      </x:c>
      <x:c r="G605" s="5" t="str">
        <x:v>—</x:v>
      </x:c>
      <x:c r="H605" s="5" t="str">
        <x:v>Без исходного файла</x:v>
      </x:c>
      <x:c r="I605" s="6" t="n">
        <x:v>70.4</x:v>
      </x:c>
      <x:c r="J605" s="6" t="n">
        <x:v>70.4</x:v>
      </x:c>
      <x:c r="K605" s="5" t="str">
        <x:v>Точная цена в редакторе</x:v>
      </x:c>
      <x:c r="L605" s="5" t="str">
        <x:v>видео</x:v>
      </x:c>
      <x:c r="M605" s="7" t="n">
        <x:f>IF(J605="","",ROUND(J605*Tariffs!$D$5,2))</x:f>
        <x:v>58.55</x:v>
      </x:c>
      <x:c r="N605" s="7" t="n">
        <x:f>IF(J605="","",ROUND(J605*Tariffs!$D$6,2))</x:f>
        <x:v>58.61</x:v>
      </x:c>
      <x:c r="O605" s="7" t="n">
        <x:f>IF(J605="","",ROUND(J605*Tariffs!$D$7,2))</x:f>
        <x:v>58.65</x:v>
      </x:c>
      <x:c r="P605" s="5" t="str">
        <x:v>https://neuromia.ru/app/video/grok</x:v>
      </x:c>
      <x:c r="Q605" s="8" t="n">
        <x:v>46282.375</x:v>
      </x:c>
      <x:c r="R605" s="5" t="str"/>
    </x:row>
    <x:row r="606" ht="22" customHeight="1">
      <x:c r="A606" s="5" t="str">
        <x:v>Видео</x:v>
      </x:c>
      <x:c r="B606" s="5" t="str">
        <x:v>Grok Imagine</x:v>
      </x:c>
      <x:c r="C606" s="5" t="str">
        <x:v>Текст → видео</x:v>
      </x:c>
      <x:c r="D606" s="5" t="str">
        <x:v>1080p</x:v>
      </x:c>
      <x:c r="E606" s="5" t="str">
        <x:v>—</x:v>
      </x:c>
      <x:c r="F606" s="5" t="n">
        <x:v>9</x:v>
      </x:c>
      <x:c r="G606" s="5" t="str">
        <x:v>—</x:v>
      </x:c>
      <x:c r="H606" s="5" t="str">
        <x:v>Без исходного файла</x:v>
      </x:c>
      <x:c r="I606" s="6" t="n">
        <x:v>79.2</x:v>
      </x:c>
      <x:c r="J606" s="6" t="n">
        <x:v>79.2</x:v>
      </x:c>
      <x:c r="K606" s="5" t="str">
        <x:v>Точная цена в редакторе</x:v>
      </x:c>
      <x:c r="L606" s="5" t="str">
        <x:v>видео</x:v>
      </x:c>
      <x:c r="M606" s="7" t="n">
        <x:f>IF(J606="","",ROUND(J606*Tariffs!$D$5,2))</x:f>
        <x:v>65.87</x:v>
      </x:c>
      <x:c r="N606" s="7" t="n">
        <x:f>IF(J606="","",ROUND(J606*Tariffs!$D$6,2))</x:f>
        <x:v>65.93</x:v>
      </x:c>
      <x:c r="O606" s="7" t="n">
        <x:f>IF(J606="","",ROUND(J606*Tariffs!$D$7,2))</x:f>
        <x:v>65.99</x:v>
      </x:c>
      <x:c r="P606" s="5" t="str">
        <x:v>https://neuromia.ru/app/video/grok</x:v>
      </x:c>
      <x:c r="Q606" s="8" t="n">
        <x:v>46282.375</x:v>
      </x:c>
      <x:c r="R606" s="5" t="str"/>
    </x:row>
    <x:row r="607" ht="22" customHeight="1">
      <x:c r="A607" s="5" t="str">
        <x:v>Видео</x:v>
      </x:c>
      <x:c r="B607" s="5" t="str">
        <x:v>Grok Imagine</x:v>
      </x:c>
      <x:c r="C607" s="5" t="str">
        <x:v>Текст → видео</x:v>
      </x:c>
      <x:c r="D607" s="5" t="str">
        <x:v>1080p</x:v>
      </x:c>
      <x:c r="E607" s="5" t="str">
        <x:v>—</x:v>
      </x:c>
      <x:c r="F607" s="5" t="n">
        <x:v>10</x:v>
      </x:c>
      <x:c r="G607" s="5" t="str">
        <x:v>—</x:v>
      </x:c>
      <x:c r="H607" s="5" t="str">
        <x:v>Без исходного файла</x:v>
      </x:c>
      <x:c r="I607" s="6" t="n">
        <x:v>88</x:v>
      </x:c>
      <x:c r="J607" s="6" t="n">
        <x:v>88</x:v>
      </x:c>
      <x:c r="K607" s="5" t="str">
        <x:v>Точная цена в редакторе</x:v>
      </x:c>
      <x:c r="L607" s="5" t="str">
        <x:v>видео</x:v>
      </x:c>
      <x:c r="M607" s="7" t="n">
        <x:f>IF(J607="","",ROUND(J607*Tariffs!$D$5,2))</x:f>
        <x:v>73.19</x:v>
      </x:c>
      <x:c r="N607" s="7" t="n">
        <x:f>IF(J607="","",ROUND(J607*Tariffs!$D$6,2))</x:f>
        <x:v>73.26</x:v>
      </x:c>
      <x:c r="O607" s="7" t="n">
        <x:f>IF(J607="","",ROUND(J607*Tariffs!$D$7,2))</x:f>
        <x:v>73.32</x:v>
      </x:c>
      <x:c r="P607" s="5" t="str">
        <x:v>https://neuromia.ru/app/video/grok</x:v>
      </x:c>
      <x:c r="Q607" s="8" t="n">
        <x:v>46282.375</x:v>
      </x:c>
      <x:c r="R607" s="5" t="str"/>
    </x:row>
    <x:row r="608" ht="22" customHeight="1">
      <x:c r="A608" s="5" t="str">
        <x:v>Видео</x:v>
      </x:c>
      <x:c r="B608" s="5" t="str">
        <x:v>Grok Imagine</x:v>
      </x:c>
      <x:c r="C608" s="5" t="str">
        <x:v>Текст → видео</x:v>
      </x:c>
      <x:c r="D608" s="5" t="str">
        <x:v>1080p</x:v>
      </x:c>
      <x:c r="E608" s="5" t="str">
        <x:v>—</x:v>
      </x:c>
      <x:c r="F608" s="5" t="n">
        <x:v>11</x:v>
      </x:c>
      <x:c r="G608" s="5" t="str">
        <x:v>—</x:v>
      </x:c>
      <x:c r="H608" s="5" t="str">
        <x:v>Без исходного файла</x:v>
      </x:c>
      <x:c r="I608" s="6" t="n">
        <x:v>96.8</x:v>
      </x:c>
      <x:c r="J608" s="6" t="n">
        <x:v>96.8</x:v>
      </x:c>
      <x:c r="K608" s="5" t="str">
        <x:v>Точная цена в редакторе</x:v>
      </x:c>
      <x:c r="L608" s="5" t="str">
        <x:v>видео</x:v>
      </x:c>
      <x:c r="M608" s="7" t="n">
        <x:f>IF(J608="","",ROUND(J608*Tariffs!$D$5,2))</x:f>
        <x:v>80.51</x:v>
      </x:c>
      <x:c r="N608" s="7" t="n">
        <x:f>IF(J608="","",ROUND(J608*Tariffs!$D$6,2))</x:f>
        <x:v>80.59</x:v>
      </x:c>
      <x:c r="O608" s="7" t="n">
        <x:f>IF(J608="","",ROUND(J608*Tariffs!$D$7,2))</x:f>
        <x:v>80.65</x:v>
      </x:c>
      <x:c r="P608" s="5" t="str">
        <x:v>https://neuromia.ru/app/video/grok</x:v>
      </x:c>
      <x:c r="Q608" s="8" t="n">
        <x:v>46282.375</x:v>
      </x:c>
      <x:c r="R608" s="5" t="str"/>
    </x:row>
    <x:row r="609" ht="22" customHeight="1">
      <x:c r="A609" s="5" t="str">
        <x:v>Видео</x:v>
      </x:c>
      <x:c r="B609" s="5" t="str">
        <x:v>Grok Imagine</x:v>
      </x:c>
      <x:c r="C609" s="5" t="str">
        <x:v>Текст → видео</x:v>
      </x:c>
      <x:c r="D609" s="5" t="str">
        <x:v>1080p</x:v>
      </x:c>
      <x:c r="E609" s="5" t="str">
        <x:v>—</x:v>
      </x:c>
      <x:c r="F609" s="5" t="n">
        <x:v>12</x:v>
      </x:c>
      <x:c r="G609" s="5" t="str">
        <x:v>—</x:v>
      </x:c>
      <x:c r="H609" s="5" t="str">
        <x:v>Без исходного файла</x:v>
      </x:c>
      <x:c r="I609" s="6" t="n">
        <x:v>105.6</x:v>
      </x:c>
      <x:c r="J609" s="6" t="n">
        <x:v>105.6</x:v>
      </x:c>
      <x:c r="K609" s="5" t="str">
        <x:v>Точная цена в редакторе</x:v>
      </x:c>
      <x:c r="L609" s="5" t="str">
        <x:v>видео</x:v>
      </x:c>
      <x:c r="M609" s="7" t="n">
        <x:f>IF(J609="","",ROUND(J609*Tariffs!$D$5,2))</x:f>
        <x:v>87.82</x:v>
      </x:c>
      <x:c r="N609" s="7" t="n">
        <x:f>IF(J609="","",ROUND(J609*Tariffs!$D$6,2))</x:f>
        <x:v>87.91</x:v>
      </x:c>
      <x:c r="O609" s="7" t="n">
        <x:f>IF(J609="","",ROUND(J609*Tariffs!$D$7,2))</x:f>
        <x:v>87.98</x:v>
      </x:c>
      <x:c r="P609" s="5" t="str">
        <x:v>https://neuromia.ru/app/video/grok</x:v>
      </x:c>
      <x:c r="Q609" s="8" t="n">
        <x:v>46282.375</x:v>
      </x:c>
      <x:c r="R609" s="5" t="str"/>
    </x:row>
    <x:row r="610" ht="22" customHeight="1">
      <x:c r="A610" s="5" t="str">
        <x:v>Видео</x:v>
      </x:c>
      <x:c r="B610" s="5" t="str">
        <x:v>Grok Imagine</x:v>
      </x:c>
      <x:c r="C610" s="5" t="str">
        <x:v>Текст → видео</x:v>
      </x:c>
      <x:c r="D610" s="5" t="str">
        <x:v>1080p</x:v>
      </x:c>
      <x:c r="E610" s="5" t="str">
        <x:v>—</x:v>
      </x:c>
      <x:c r="F610" s="5" t="n">
        <x:v>13</x:v>
      </x:c>
      <x:c r="G610" s="5" t="str">
        <x:v>—</x:v>
      </x:c>
      <x:c r="H610" s="5" t="str">
        <x:v>Без исходного файла</x:v>
      </x:c>
      <x:c r="I610" s="6" t="n">
        <x:v>114.4</x:v>
      </x:c>
      <x:c r="J610" s="6" t="n">
        <x:v>114.4</x:v>
      </x:c>
      <x:c r="K610" s="5" t="str">
        <x:v>Точная цена в редакторе</x:v>
      </x:c>
      <x:c r="L610" s="5" t="str">
        <x:v>видео</x:v>
      </x:c>
      <x:c r="M610" s="7" t="n">
        <x:f>IF(J610="","",ROUND(J610*Tariffs!$D$5,2))</x:f>
        <x:v>95.14</x:v>
      </x:c>
      <x:c r="N610" s="7" t="n">
        <x:f>IF(J610="","",ROUND(J610*Tariffs!$D$6,2))</x:f>
        <x:v>95.24</x:v>
      </x:c>
      <x:c r="O610" s="7" t="n">
        <x:f>IF(J610="","",ROUND(J610*Tariffs!$D$7,2))</x:f>
        <x:v>95.31</x:v>
      </x:c>
      <x:c r="P610" s="5" t="str">
        <x:v>https://neuromia.ru/app/video/grok</x:v>
      </x:c>
      <x:c r="Q610" s="8" t="n">
        <x:v>46282.375</x:v>
      </x:c>
      <x:c r="R610" s="5" t="str"/>
    </x:row>
    <x:row r="611" ht="22" customHeight="1">
      <x:c r="A611" s="5" t="str">
        <x:v>Видео</x:v>
      </x:c>
      <x:c r="B611" s="5" t="str">
        <x:v>Grok Imagine</x:v>
      </x:c>
      <x:c r="C611" s="5" t="str">
        <x:v>Текст → видео</x:v>
      </x:c>
      <x:c r="D611" s="5" t="str">
        <x:v>1080p</x:v>
      </x:c>
      <x:c r="E611" s="5" t="str">
        <x:v>—</x:v>
      </x:c>
      <x:c r="F611" s="5" t="n">
        <x:v>14</x:v>
      </x:c>
      <x:c r="G611" s="5" t="str">
        <x:v>—</x:v>
      </x:c>
      <x:c r="H611" s="5" t="str">
        <x:v>Без исходного файла</x:v>
      </x:c>
      <x:c r="I611" s="6" t="n">
        <x:v>123.2</x:v>
      </x:c>
      <x:c r="J611" s="6" t="n">
        <x:v>123.2</x:v>
      </x:c>
      <x:c r="K611" s="5" t="str">
        <x:v>Точная цена в редакторе</x:v>
      </x:c>
      <x:c r="L611" s="5" t="str">
        <x:v>видео</x:v>
      </x:c>
      <x:c r="M611" s="7" t="n">
        <x:f>IF(J611="","",ROUND(J611*Tariffs!$D$5,2))</x:f>
        <x:v>102.46</x:v>
      </x:c>
      <x:c r="N611" s="7" t="n">
        <x:f>IF(J611="","",ROUND(J611*Tariffs!$D$6,2))</x:f>
        <x:v>102.56</x:v>
      </x:c>
      <x:c r="O611" s="7" t="n">
        <x:f>IF(J611="","",ROUND(J611*Tariffs!$D$7,2))</x:f>
        <x:v>102.65</x:v>
      </x:c>
      <x:c r="P611" s="5" t="str">
        <x:v>https://neuromia.ru/app/video/grok</x:v>
      </x:c>
      <x:c r="Q611" s="8" t="n">
        <x:v>46282.375</x:v>
      </x:c>
      <x:c r="R611" s="5" t="str"/>
    </x:row>
    <x:row r="612" ht="22" customHeight="1">
      <x:c r="A612" s="5" t="str">
        <x:v>Видео</x:v>
      </x:c>
      <x:c r="B612" s="5" t="str">
        <x:v>Grok Imagine</x:v>
      </x:c>
      <x:c r="C612" s="5" t="str">
        <x:v>Текст → видео</x:v>
      </x:c>
      <x:c r="D612" s="5" t="str">
        <x:v>1080p</x:v>
      </x:c>
      <x:c r="E612" s="5" t="str">
        <x:v>—</x:v>
      </x:c>
      <x:c r="F612" s="5" t="n">
        <x:v>15</x:v>
      </x:c>
      <x:c r="G612" s="5" t="str">
        <x:v>—</x:v>
      </x:c>
      <x:c r="H612" s="5" t="str">
        <x:v>Без исходного файла</x:v>
      </x:c>
      <x:c r="I612" s="6" t="n">
        <x:v>132</x:v>
      </x:c>
      <x:c r="J612" s="6" t="n">
        <x:v>132</x:v>
      </x:c>
      <x:c r="K612" s="5" t="str">
        <x:v>Точная цена в редакторе</x:v>
      </x:c>
      <x:c r="L612" s="5" t="str">
        <x:v>видео</x:v>
      </x:c>
      <x:c r="M612" s="7" t="n">
        <x:f>IF(J612="","",ROUND(J612*Tariffs!$D$5,2))</x:f>
        <x:v>109.78</x:v>
      </x:c>
      <x:c r="N612" s="7" t="n">
        <x:f>IF(J612="","",ROUND(J612*Tariffs!$D$6,2))</x:f>
        <x:v>109.89</x:v>
      </x:c>
      <x:c r="O612" s="7" t="n">
        <x:f>IF(J612="","",ROUND(J612*Tariffs!$D$7,2))</x:f>
        <x:v>109.98</x:v>
      </x:c>
      <x:c r="P612" s="5" t="str">
        <x:v>https://neuromia.ru/app/video/grok</x:v>
      </x:c>
      <x:c r="Q612" s="8" t="n">
        <x:v>46282.375</x:v>
      </x:c>
      <x:c r="R612" s="5" t="str"/>
    </x:row>
    <x:row r="613" ht="22" customHeight="1">
      <x:c r="A613" s="5" t="str">
        <x:v>Видео</x:v>
      </x:c>
      <x:c r="B613" s="5" t="str">
        <x:v>Grok Imagine</x:v>
      </x:c>
      <x:c r="C613" s="5" t="str">
        <x:v>Текст → видео</x:v>
      </x:c>
      <x:c r="D613" s="5" t="str">
        <x:v>1080p</x:v>
      </x:c>
      <x:c r="E613" s="5" t="str">
        <x:v>—</x:v>
      </x:c>
      <x:c r="F613" s="5" t="n">
        <x:v>16</x:v>
      </x:c>
      <x:c r="G613" s="5" t="str">
        <x:v>—</x:v>
      </x:c>
      <x:c r="H613" s="5" t="str">
        <x:v>Без исходного файла</x:v>
      </x:c>
      <x:c r="I613" s="6" t="n">
        <x:v>140.8</x:v>
      </x:c>
      <x:c r="J613" s="6" t="n">
        <x:v>140.8</x:v>
      </x:c>
      <x:c r="K613" s="5" t="str">
        <x:v>Точная цена в редакторе</x:v>
      </x:c>
      <x:c r="L613" s="5" t="str">
        <x:v>видео</x:v>
      </x:c>
      <x:c r="M613" s="7" t="n">
        <x:f>IF(J613="","",ROUND(J613*Tariffs!$D$5,2))</x:f>
        <x:v>117.1</x:v>
      </x:c>
      <x:c r="N613" s="7" t="n">
        <x:f>IF(J613="","",ROUND(J613*Tariffs!$D$6,2))</x:f>
        <x:v>117.22</x:v>
      </x:c>
      <x:c r="O613" s="7" t="n">
        <x:f>IF(J613="","",ROUND(J613*Tariffs!$D$7,2))</x:f>
        <x:v>117.31</x:v>
      </x:c>
      <x:c r="P613" s="5" t="str">
        <x:v>https://neuromia.ru/app/video/grok</x:v>
      </x:c>
      <x:c r="Q613" s="8" t="n">
        <x:v>46282.375</x:v>
      </x:c>
      <x:c r="R613" s="5" t="str"/>
    </x:row>
    <x:row r="614" ht="22" customHeight="1">
      <x:c r="A614" s="5" t="str">
        <x:v>Видео</x:v>
      </x:c>
      <x:c r="B614" s="5" t="str">
        <x:v>Grok Imagine</x:v>
      </x:c>
      <x:c r="C614" s="5" t="str">
        <x:v>Текст → видео</x:v>
      </x:c>
      <x:c r="D614" s="5" t="str">
        <x:v>1080p</x:v>
      </x:c>
      <x:c r="E614" s="5" t="str">
        <x:v>—</x:v>
      </x:c>
      <x:c r="F614" s="5" t="n">
        <x:v>17</x:v>
      </x:c>
      <x:c r="G614" s="5" t="str">
        <x:v>—</x:v>
      </x:c>
      <x:c r="H614" s="5" t="str">
        <x:v>Без исходного файла</x:v>
      </x:c>
      <x:c r="I614" s="6" t="n">
        <x:v>149.6</x:v>
      </x:c>
      <x:c r="J614" s="6" t="n">
        <x:v>149.6</x:v>
      </x:c>
      <x:c r="K614" s="5" t="str">
        <x:v>Точная цена в редакторе</x:v>
      </x:c>
      <x:c r="L614" s="5" t="str">
        <x:v>видео</x:v>
      </x:c>
      <x:c r="M614" s="7" t="n">
        <x:f>IF(J614="","",ROUND(J614*Tariffs!$D$5,2))</x:f>
        <x:v>124.42</x:v>
      </x:c>
      <x:c r="N614" s="7" t="n">
        <x:f>IF(J614="","",ROUND(J614*Tariffs!$D$6,2))</x:f>
        <x:v>124.54</x:v>
      </x:c>
      <x:c r="O614" s="7" t="n">
        <x:f>IF(J614="","",ROUND(J614*Tariffs!$D$7,2))</x:f>
        <x:v>124.64</x:v>
      </x:c>
      <x:c r="P614" s="5" t="str">
        <x:v>https://neuromia.ru/app/video/grok</x:v>
      </x:c>
      <x:c r="Q614" s="8" t="n">
        <x:v>46282.375</x:v>
      </x:c>
      <x:c r="R614" s="5" t="str"/>
    </x:row>
    <x:row r="615" ht="22" customHeight="1">
      <x:c r="A615" s="5" t="str">
        <x:v>Видео</x:v>
      </x:c>
      <x:c r="B615" s="5" t="str">
        <x:v>Grok Imagine</x:v>
      </x:c>
      <x:c r="C615" s="5" t="str">
        <x:v>Текст → видео</x:v>
      </x:c>
      <x:c r="D615" s="5" t="str">
        <x:v>1080p</x:v>
      </x:c>
      <x:c r="E615" s="5" t="str">
        <x:v>—</x:v>
      </x:c>
      <x:c r="F615" s="5" t="n">
        <x:v>18</x:v>
      </x:c>
      <x:c r="G615" s="5" t="str">
        <x:v>—</x:v>
      </x:c>
      <x:c r="H615" s="5" t="str">
        <x:v>Без исходного файла</x:v>
      </x:c>
      <x:c r="I615" s="6" t="n">
        <x:v>158.4</x:v>
      </x:c>
      <x:c r="J615" s="6" t="n">
        <x:v>158.4</x:v>
      </x:c>
      <x:c r="K615" s="5" t="str">
        <x:v>Точная цена в редакторе</x:v>
      </x:c>
      <x:c r="L615" s="5" t="str">
        <x:v>видео</x:v>
      </x:c>
      <x:c r="M615" s="7" t="n">
        <x:f>IF(J615="","",ROUND(J615*Tariffs!$D$5,2))</x:f>
        <x:v>131.74</x:v>
      </x:c>
      <x:c r="N615" s="7" t="n">
        <x:f>IF(J615="","",ROUND(J615*Tariffs!$D$6,2))</x:f>
        <x:v>131.87</x:v>
      </x:c>
      <x:c r="O615" s="7" t="n">
        <x:f>IF(J615="","",ROUND(J615*Tariffs!$D$7,2))</x:f>
        <x:v>131.97</x:v>
      </x:c>
      <x:c r="P615" s="5" t="str">
        <x:v>https://neuromia.ru/app/video/grok</x:v>
      </x:c>
      <x:c r="Q615" s="8" t="n">
        <x:v>46282.375</x:v>
      </x:c>
      <x:c r="R615" s="5" t="str"/>
    </x:row>
    <x:row r="616" ht="22" customHeight="1">
      <x:c r="A616" s="5" t="str">
        <x:v>Видео</x:v>
      </x:c>
      <x:c r="B616" s="5" t="str">
        <x:v>Grok Imagine</x:v>
      </x:c>
      <x:c r="C616" s="5" t="str">
        <x:v>Текст → видео</x:v>
      </x:c>
      <x:c r="D616" s="5" t="str">
        <x:v>1080p</x:v>
      </x:c>
      <x:c r="E616" s="5" t="str">
        <x:v>—</x:v>
      </x:c>
      <x:c r="F616" s="5" t="n">
        <x:v>19</x:v>
      </x:c>
      <x:c r="G616" s="5" t="str">
        <x:v>—</x:v>
      </x:c>
      <x:c r="H616" s="5" t="str">
        <x:v>Без исходного файла</x:v>
      </x:c>
      <x:c r="I616" s="6" t="n">
        <x:v>167.2</x:v>
      </x:c>
      <x:c r="J616" s="6" t="n">
        <x:v>167.2</x:v>
      </x:c>
      <x:c r="K616" s="5" t="str">
        <x:v>Точная цена в редакторе</x:v>
      </x:c>
      <x:c r="L616" s="5" t="str">
        <x:v>видео</x:v>
      </x:c>
      <x:c r="M616" s="7" t="n">
        <x:f>IF(J616="","",ROUND(J616*Tariffs!$D$5,2))</x:f>
        <x:v>139.05</x:v>
      </x:c>
      <x:c r="N616" s="7" t="n">
        <x:f>IF(J616="","",ROUND(J616*Tariffs!$D$6,2))</x:f>
        <x:v>139.19</x:v>
      </x:c>
      <x:c r="O616" s="7" t="n">
        <x:f>IF(J616="","",ROUND(J616*Tariffs!$D$7,2))</x:f>
        <x:v>139.31</x:v>
      </x:c>
      <x:c r="P616" s="5" t="str">
        <x:v>https://neuromia.ru/app/video/grok</x:v>
      </x:c>
      <x:c r="Q616" s="8" t="n">
        <x:v>46282.375</x:v>
      </x:c>
      <x:c r="R616" s="5" t="str"/>
    </x:row>
    <x:row r="617" ht="22" customHeight="1">
      <x:c r="A617" s="5" t="str">
        <x:v>Видео</x:v>
      </x:c>
      <x:c r="B617" s="5" t="str">
        <x:v>Grok Imagine</x:v>
      </x:c>
      <x:c r="C617" s="5" t="str">
        <x:v>Текст → видео</x:v>
      </x:c>
      <x:c r="D617" s="5" t="str">
        <x:v>1080p</x:v>
      </x:c>
      <x:c r="E617" s="5" t="str">
        <x:v>—</x:v>
      </x:c>
      <x:c r="F617" s="5" t="n">
        <x:v>20</x:v>
      </x:c>
      <x:c r="G617" s="5" t="str">
        <x:v>—</x:v>
      </x:c>
      <x:c r="H617" s="5" t="str">
        <x:v>Без исходного файла</x:v>
      </x:c>
      <x:c r="I617" s="6" t="n">
        <x:v>176</x:v>
      </x:c>
      <x:c r="J617" s="6" t="n">
        <x:v>176</x:v>
      </x:c>
      <x:c r="K617" s="5" t="str">
        <x:v>Точная цена в редакторе</x:v>
      </x:c>
      <x:c r="L617" s="5" t="str">
        <x:v>видео</x:v>
      </x:c>
      <x:c r="M617" s="7" t="n">
        <x:f>IF(J617="","",ROUND(J617*Tariffs!$D$5,2))</x:f>
        <x:v>146.37</x:v>
      </x:c>
      <x:c r="N617" s="7" t="n">
        <x:f>IF(J617="","",ROUND(J617*Tariffs!$D$6,2))</x:f>
        <x:v>146.52</x:v>
      </x:c>
      <x:c r="O617" s="7" t="n">
        <x:f>IF(J617="","",ROUND(J617*Tariffs!$D$7,2))</x:f>
        <x:v>146.64</x:v>
      </x:c>
      <x:c r="P617" s="5" t="str">
        <x:v>https://neuromia.ru/app/video/grok</x:v>
      </x:c>
      <x:c r="Q617" s="8" t="n">
        <x:v>46282.375</x:v>
      </x:c>
      <x:c r="R617" s="5" t="str"/>
    </x:row>
    <x:row r="618" ht="22" customHeight="1">
      <x:c r="A618" s="5" t="str">
        <x:v>Видео</x:v>
      </x:c>
      <x:c r="B618" s="5" t="str">
        <x:v>Grok Imagine</x:v>
      </x:c>
      <x:c r="C618" s="5" t="str">
        <x:v>Текст → видео</x:v>
      </x:c>
      <x:c r="D618" s="5" t="str">
        <x:v>1080p</x:v>
      </x:c>
      <x:c r="E618" s="5" t="str">
        <x:v>—</x:v>
      </x:c>
      <x:c r="F618" s="5" t="n">
        <x:v>21</x:v>
      </x:c>
      <x:c r="G618" s="5" t="str">
        <x:v>—</x:v>
      </x:c>
      <x:c r="H618" s="5" t="str">
        <x:v>Без исходного файла</x:v>
      </x:c>
      <x:c r="I618" s="6" t="n">
        <x:v>184.8</x:v>
      </x:c>
      <x:c r="J618" s="6" t="n">
        <x:v>184.8</x:v>
      </x:c>
      <x:c r="K618" s="5" t="str">
        <x:v>Точная цена в редакторе</x:v>
      </x:c>
      <x:c r="L618" s="5" t="str">
        <x:v>видео</x:v>
      </x:c>
      <x:c r="M618" s="7" t="n">
        <x:f>IF(J618="","",ROUND(J618*Tariffs!$D$5,2))</x:f>
        <x:v>153.69</x:v>
      </x:c>
      <x:c r="N618" s="7" t="n">
        <x:f>IF(J618="","",ROUND(J618*Tariffs!$D$6,2))</x:f>
        <x:v>153.85</x:v>
      </x:c>
      <x:c r="O618" s="7" t="n">
        <x:f>IF(J618="","",ROUND(J618*Tariffs!$D$7,2))</x:f>
        <x:v>153.97</x:v>
      </x:c>
      <x:c r="P618" s="5" t="str">
        <x:v>https://neuromia.ru/app/video/grok</x:v>
      </x:c>
      <x:c r="Q618" s="8" t="n">
        <x:v>46282.375</x:v>
      </x:c>
      <x:c r="R618" s="5" t="str"/>
    </x:row>
    <x:row r="619" ht="22" customHeight="1">
      <x:c r="A619" s="5" t="str">
        <x:v>Видео</x:v>
      </x:c>
      <x:c r="B619" s="5" t="str">
        <x:v>Grok Imagine</x:v>
      </x:c>
      <x:c r="C619" s="5" t="str">
        <x:v>Текст → видео</x:v>
      </x:c>
      <x:c r="D619" s="5" t="str">
        <x:v>1080p</x:v>
      </x:c>
      <x:c r="E619" s="5" t="str">
        <x:v>—</x:v>
      </x:c>
      <x:c r="F619" s="5" t="n">
        <x:v>22</x:v>
      </x:c>
      <x:c r="G619" s="5" t="str">
        <x:v>—</x:v>
      </x:c>
      <x:c r="H619" s="5" t="str">
        <x:v>Без исходного файла</x:v>
      </x:c>
      <x:c r="I619" s="6" t="n">
        <x:v>193.6</x:v>
      </x:c>
      <x:c r="J619" s="6" t="n">
        <x:v>193.6</x:v>
      </x:c>
      <x:c r="K619" s="5" t="str">
        <x:v>Точная цена в редакторе</x:v>
      </x:c>
      <x:c r="L619" s="5" t="str">
        <x:v>видео</x:v>
      </x:c>
      <x:c r="M619" s="7" t="n">
        <x:f>IF(J619="","",ROUND(J619*Tariffs!$D$5,2))</x:f>
        <x:v>161.01</x:v>
      </x:c>
      <x:c r="N619" s="7" t="n">
        <x:f>IF(J619="","",ROUND(J619*Tariffs!$D$6,2))</x:f>
        <x:v>161.17</x:v>
      </x:c>
      <x:c r="O619" s="7" t="n">
        <x:f>IF(J619="","",ROUND(J619*Tariffs!$D$7,2))</x:f>
        <x:v>161.3</x:v>
      </x:c>
      <x:c r="P619" s="5" t="str">
        <x:v>https://neuromia.ru/app/video/grok</x:v>
      </x:c>
      <x:c r="Q619" s="8" t="n">
        <x:v>46282.375</x:v>
      </x:c>
      <x:c r="R619" s="5" t="str"/>
    </x:row>
    <x:row r="620" ht="22" customHeight="1">
      <x:c r="A620" s="5" t="str">
        <x:v>Видео</x:v>
      </x:c>
      <x:c r="B620" s="5" t="str">
        <x:v>Grok Imagine</x:v>
      </x:c>
      <x:c r="C620" s="5" t="str">
        <x:v>Текст → видео</x:v>
      </x:c>
      <x:c r="D620" s="5" t="str">
        <x:v>1080p</x:v>
      </x:c>
      <x:c r="E620" s="5" t="str">
        <x:v>—</x:v>
      </x:c>
      <x:c r="F620" s="5" t="n">
        <x:v>23</x:v>
      </x:c>
      <x:c r="G620" s="5" t="str">
        <x:v>—</x:v>
      </x:c>
      <x:c r="H620" s="5" t="str">
        <x:v>Без исходного файла</x:v>
      </x:c>
      <x:c r="I620" s="6" t="n">
        <x:v>202.4</x:v>
      </x:c>
      <x:c r="J620" s="6" t="n">
        <x:v>202.4</x:v>
      </x:c>
      <x:c r="K620" s="5" t="str">
        <x:v>Точная цена в редакторе</x:v>
      </x:c>
      <x:c r="L620" s="5" t="str">
        <x:v>видео</x:v>
      </x:c>
      <x:c r="M620" s="7" t="n">
        <x:f>IF(J620="","",ROUND(J620*Tariffs!$D$5,2))</x:f>
        <x:v>168.33</x:v>
      </x:c>
      <x:c r="N620" s="7" t="n">
        <x:f>IF(J620="","",ROUND(J620*Tariffs!$D$6,2))</x:f>
        <x:v>168.5</x:v>
      </x:c>
      <x:c r="O620" s="7" t="n">
        <x:f>IF(J620="","",ROUND(J620*Tariffs!$D$7,2))</x:f>
        <x:v>168.63</x:v>
      </x:c>
      <x:c r="P620" s="5" t="str">
        <x:v>https://neuromia.ru/app/video/grok</x:v>
      </x:c>
      <x:c r="Q620" s="8" t="n">
        <x:v>46282.375</x:v>
      </x:c>
      <x:c r="R620" s="5" t="str"/>
    </x:row>
    <x:row r="621" ht="22" customHeight="1">
      <x:c r="A621" s="5" t="str">
        <x:v>Видео</x:v>
      </x:c>
      <x:c r="B621" s="5" t="str">
        <x:v>Grok Imagine</x:v>
      </x:c>
      <x:c r="C621" s="5" t="str">
        <x:v>Текст → видео</x:v>
      </x:c>
      <x:c r="D621" s="5" t="str">
        <x:v>1080p</x:v>
      </x:c>
      <x:c r="E621" s="5" t="str">
        <x:v>—</x:v>
      </x:c>
      <x:c r="F621" s="5" t="n">
        <x:v>24</x:v>
      </x:c>
      <x:c r="G621" s="5" t="str">
        <x:v>—</x:v>
      </x:c>
      <x:c r="H621" s="5" t="str">
        <x:v>Без исходного файла</x:v>
      </x:c>
      <x:c r="I621" s="6" t="n">
        <x:v>211.2</x:v>
      </x:c>
      <x:c r="J621" s="6" t="n">
        <x:v>211.2</x:v>
      </x:c>
      <x:c r="K621" s="5" t="str">
        <x:v>Точная цена в редакторе</x:v>
      </x:c>
      <x:c r="L621" s="5" t="str">
        <x:v>видео</x:v>
      </x:c>
      <x:c r="M621" s="7" t="n">
        <x:f>IF(J621="","",ROUND(J621*Tariffs!$D$5,2))</x:f>
        <x:v>175.65</x:v>
      </x:c>
      <x:c r="N621" s="7" t="n">
        <x:f>IF(J621="","",ROUND(J621*Tariffs!$D$6,2))</x:f>
        <x:v>175.82</x:v>
      </x:c>
      <x:c r="O621" s="7" t="n">
        <x:f>IF(J621="","",ROUND(J621*Tariffs!$D$7,2))</x:f>
        <x:v>175.96</x:v>
      </x:c>
      <x:c r="P621" s="5" t="str">
        <x:v>https://neuromia.ru/app/video/grok</x:v>
      </x:c>
      <x:c r="Q621" s="8" t="n">
        <x:v>46282.375</x:v>
      </x:c>
      <x:c r="R621" s="5" t="str"/>
    </x:row>
    <x:row r="622" ht="22" customHeight="1">
      <x:c r="A622" s="5" t="str">
        <x:v>Видео</x:v>
      </x:c>
      <x:c r="B622" s="5" t="str">
        <x:v>Grok Imagine</x:v>
      </x:c>
      <x:c r="C622" s="5" t="str">
        <x:v>Текст → видео</x:v>
      </x:c>
      <x:c r="D622" s="5" t="str">
        <x:v>1080p</x:v>
      </x:c>
      <x:c r="E622" s="5" t="str">
        <x:v>—</x:v>
      </x:c>
      <x:c r="F622" s="5" t="n">
        <x:v>25</x:v>
      </x:c>
      <x:c r="G622" s="5" t="str">
        <x:v>—</x:v>
      </x:c>
      <x:c r="H622" s="5" t="str">
        <x:v>Без исходного файла</x:v>
      </x:c>
      <x:c r="I622" s="6" t="n">
        <x:v>220</x:v>
      </x:c>
      <x:c r="J622" s="6" t="n">
        <x:v>220</x:v>
      </x:c>
      <x:c r="K622" s="5" t="str">
        <x:v>Точная цена в редакторе</x:v>
      </x:c>
      <x:c r="L622" s="5" t="str">
        <x:v>видео</x:v>
      </x:c>
      <x:c r="M622" s="7" t="n">
        <x:f>IF(J622="","",ROUND(J622*Tariffs!$D$5,2))</x:f>
        <x:v>182.97</x:v>
      </x:c>
      <x:c r="N622" s="7" t="n">
        <x:f>IF(J622="","",ROUND(J622*Tariffs!$D$6,2))</x:f>
        <x:v>183.15</x:v>
      </x:c>
      <x:c r="O622" s="7" t="n">
        <x:f>IF(J622="","",ROUND(J622*Tariffs!$D$7,2))</x:f>
        <x:v>183.3</x:v>
      </x:c>
      <x:c r="P622" s="5" t="str">
        <x:v>https://neuromia.ru/app/video/grok</x:v>
      </x:c>
      <x:c r="Q622" s="8" t="n">
        <x:v>46282.375</x:v>
      </x:c>
      <x:c r="R622" s="5" t="str"/>
    </x:row>
    <x:row r="623" ht="22" customHeight="1">
      <x:c r="A623" s="5" t="str">
        <x:v>Видео</x:v>
      </x:c>
      <x:c r="B623" s="5" t="str">
        <x:v>Grok Imagine</x:v>
      </x:c>
      <x:c r="C623" s="5" t="str">
        <x:v>Текст → видео</x:v>
      </x:c>
      <x:c r="D623" s="5" t="str">
        <x:v>1080p</x:v>
      </x:c>
      <x:c r="E623" s="5" t="str">
        <x:v>—</x:v>
      </x:c>
      <x:c r="F623" s="5" t="n">
        <x:v>26</x:v>
      </x:c>
      <x:c r="G623" s="5" t="str">
        <x:v>—</x:v>
      </x:c>
      <x:c r="H623" s="5" t="str">
        <x:v>Без исходного файла</x:v>
      </x:c>
      <x:c r="I623" s="6" t="n">
        <x:v>228.8</x:v>
      </x:c>
      <x:c r="J623" s="6" t="n">
        <x:v>228.8</x:v>
      </x:c>
      <x:c r="K623" s="5" t="str">
        <x:v>Точная цена в редакторе</x:v>
      </x:c>
      <x:c r="L623" s="5" t="str">
        <x:v>видео</x:v>
      </x:c>
      <x:c r="M623" s="7" t="n">
        <x:f>IF(J623="","",ROUND(J623*Tariffs!$D$5,2))</x:f>
        <x:v>190.29</x:v>
      </x:c>
      <x:c r="N623" s="7" t="n">
        <x:f>IF(J623="","",ROUND(J623*Tariffs!$D$6,2))</x:f>
        <x:v>190.48</x:v>
      </x:c>
      <x:c r="O623" s="7" t="n">
        <x:f>IF(J623="","",ROUND(J623*Tariffs!$D$7,2))</x:f>
        <x:v>190.63</x:v>
      </x:c>
      <x:c r="P623" s="5" t="str">
        <x:v>https://neuromia.ru/app/video/grok</x:v>
      </x:c>
      <x:c r="Q623" s="8" t="n">
        <x:v>46282.375</x:v>
      </x:c>
      <x:c r="R623" s="5" t="str"/>
    </x:row>
    <x:row r="624" ht="22" customHeight="1">
      <x:c r="A624" s="5" t="str">
        <x:v>Видео</x:v>
      </x:c>
      <x:c r="B624" s="5" t="str">
        <x:v>Grok Imagine</x:v>
      </x:c>
      <x:c r="C624" s="5" t="str">
        <x:v>Текст → видео</x:v>
      </x:c>
      <x:c r="D624" s="5" t="str">
        <x:v>1080p</x:v>
      </x:c>
      <x:c r="E624" s="5" t="str">
        <x:v>—</x:v>
      </x:c>
      <x:c r="F624" s="5" t="n">
        <x:v>27</x:v>
      </x:c>
      <x:c r="G624" s="5" t="str">
        <x:v>—</x:v>
      </x:c>
      <x:c r="H624" s="5" t="str">
        <x:v>Без исходного файла</x:v>
      </x:c>
      <x:c r="I624" s="6" t="n">
        <x:v>237.6</x:v>
      </x:c>
      <x:c r="J624" s="6" t="n">
        <x:v>237.6</x:v>
      </x:c>
      <x:c r="K624" s="5" t="str">
        <x:v>Точная цена в редакторе</x:v>
      </x:c>
      <x:c r="L624" s="5" t="str">
        <x:v>видео</x:v>
      </x:c>
      <x:c r="M624" s="7" t="n">
        <x:f>IF(J624="","",ROUND(J624*Tariffs!$D$5,2))</x:f>
        <x:v>197.6</x:v>
      </x:c>
      <x:c r="N624" s="7" t="n">
        <x:f>IF(J624="","",ROUND(J624*Tariffs!$D$6,2))</x:f>
        <x:v>197.8</x:v>
      </x:c>
      <x:c r="O624" s="7" t="n">
        <x:f>IF(J624="","",ROUND(J624*Tariffs!$D$7,2))</x:f>
        <x:v>197.96</x:v>
      </x:c>
      <x:c r="P624" s="5" t="str">
        <x:v>https://neuromia.ru/app/video/grok</x:v>
      </x:c>
      <x:c r="Q624" s="8" t="n">
        <x:v>46282.375</x:v>
      </x:c>
      <x:c r="R624" s="5" t="str"/>
    </x:row>
    <x:row r="625" ht="22" customHeight="1">
      <x:c r="A625" s="5" t="str">
        <x:v>Видео</x:v>
      </x:c>
      <x:c r="B625" s="5" t="str">
        <x:v>Grok Imagine</x:v>
      </x:c>
      <x:c r="C625" s="5" t="str">
        <x:v>Текст → видео</x:v>
      </x:c>
      <x:c r="D625" s="5" t="str">
        <x:v>1080p</x:v>
      </x:c>
      <x:c r="E625" s="5" t="str">
        <x:v>—</x:v>
      </x:c>
      <x:c r="F625" s="5" t="n">
        <x:v>28</x:v>
      </x:c>
      <x:c r="G625" s="5" t="str">
        <x:v>—</x:v>
      </x:c>
      <x:c r="H625" s="5" t="str">
        <x:v>Без исходного файла</x:v>
      </x:c>
      <x:c r="I625" s="6" t="n">
        <x:v>246.4</x:v>
      </x:c>
      <x:c r="J625" s="6" t="n">
        <x:v>246.4</x:v>
      </x:c>
      <x:c r="K625" s="5" t="str">
        <x:v>Точная цена в редакторе</x:v>
      </x:c>
      <x:c r="L625" s="5" t="str">
        <x:v>видео</x:v>
      </x:c>
      <x:c r="M625" s="7" t="n">
        <x:f>IF(J625="","",ROUND(J625*Tariffs!$D$5,2))</x:f>
        <x:v>204.92</x:v>
      </x:c>
      <x:c r="N625" s="7" t="n">
        <x:f>IF(J625="","",ROUND(J625*Tariffs!$D$6,2))</x:f>
        <x:v>205.13</x:v>
      </x:c>
      <x:c r="O625" s="7" t="n">
        <x:f>IF(J625="","",ROUND(J625*Tariffs!$D$7,2))</x:f>
        <x:v>205.29</x:v>
      </x:c>
      <x:c r="P625" s="5" t="str">
        <x:v>https://neuromia.ru/app/video/grok</x:v>
      </x:c>
      <x:c r="Q625" s="8" t="n">
        <x:v>46282.375</x:v>
      </x:c>
      <x:c r="R625" s="5" t="str"/>
    </x:row>
    <x:row r="626" ht="22" customHeight="1">
      <x:c r="A626" s="5" t="str">
        <x:v>Видео</x:v>
      </x:c>
      <x:c r="B626" s="5" t="str">
        <x:v>Grok Imagine</x:v>
      </x:c>
      <x:c r="C626" s="5" t="str">
        <x:v>Текст → видео</x:v>
      </x:c>
      <x:c r="D626" s="5" t="str">
        <x:v>1080p</x:v>
      </x:c>
      <x:c r="E626" s="5" t="str">
        <x:v>—</x:v>
      </x:c>
      <x:c r="F626" s="5" t="n">
        <x:v>29</x:v>
      </x:c>
      <x:c r="G626" s="5" t="str">
        <x:v>—</x:v>
      </x:c>
      <x:c r="H626" s="5" t="str">
        <x:v>Без исходного файла</x:v>
      </x:c>
      <x:c r="I626" s="6" t="n">
        <x:v>255.2</x:v>
      </x:c>
      <x:c r="J626" s="6" t="n">
        <x:v>255.2</x:v>
      </x:c>
      <x:c r="K626" s="5" t="str">
        <x:v>Точная цена в редакторе</x:v>
      </x:c>
      <x:c r="L626" s="5" t="str">
        <x:v>видео</x:v>
      </x:c>
      <x:c r="M626" s="7" t="n">
        <x:f>IF(J626="","",ROUND(J626*Tariffs!$D$5,2))</x:f>
        <x:v>212.24</x:v>
      </x:c>
      <x:c r="N626" s="7" t="n">
        <x:f>IF(J626="","",ROUND(J626*Tariffs!$D$6,2))</x:f>
        <x:v>212.45</x:v>
      </x:c>
      <x:c r="O626" s="7" t="n">
        <x:f>IF(J626="","",ROUND(J626*Tariffs!$D$7,2))</x:f>
        <x:v>212.62</x:v>
      </x:c>
      <x:c r="P626" s="5" t="str">
        <x:v>https://neuromia.ru/app/video/grok</x:v>
      </x:c>
      <x:c r="Q626" s="8" t="n">
        <x:v>46282.375</x:v>
      </x:c>
      <x:c r="R626" s="5" t="str"/>
    </x:row>
    <x:row r="627" ht="22" customHeight="1">
      <x:c r="A627" s="5" t="str">
        <x:v>Видео</x:v>
      </x:c>
      <x:c r="B627" s="5" t="str">
        <x:v>Grok Imagine</x:v>
      </x:c>
      <x:c r="C627" s="5" t="str">
        <x:v>Текст → видео</x:v>
      </x:c>
      <x:c r="D627" s="5" t="str">
        <x:v>1080p</x:v>
      </x:c>
      <x:c r="E627" s="5" t="str">
        <x:v>—</x:v>
      </x:c>
      <x:c r="F627" s="5" t="n">
        <x:v>30</x:v>
      </x:c>
      <x:c r="G627" s="5" t="str">
        <x:v>—</x:v>
      </x:c>
      <x:c r="H627" s="5" t="str">
        <x:v>Без исходного файла</x:v>
      </x:c>
      <x:c r="I627" s="6" t="n">
        <x:v>264</x:v>
      </x:c>
      <x:c r="J627" s="6" t="n">
        <x:v>264</x:v>
      </x:c>
      <x:c r="K627" s="5" t="str">
        <x:v>Точная цена в редакторе</x:v>
      </x:c>
      <x:c r="L627" s="5" t="str">
        <x:v>видео</x:v>
      </x:c>
      <x:c r="M627" s="7" t="n">
        <x:f>IF(J627="","",ROUND(J627*Tariffs!$D$5,2))</x:f>
        <x:v>219.56</x:v>
      </x:c>
      <x:c r="N627" s="7" t="n">
        <x:f>IF(J627="","",ROUND(J627*Tariffs!$D$6,2))</x:f>
        <x:v>219.78</x:v>
      </x:c>
      <x:c r="O627" s="7" t="n">
        <x:f>IF(J627="","",ROUND(J627*Tariffs!$D$7,2))</x:f>
        <x:v>219.96</x:v>
      </x:c>
      <x:c r="P627" s="5" t="str">
        <x:v>https://neuromia.ru/app/video/grok</x:v>
      </x:c>
      <x:c r="Q627" s="8" t="n">
        <x:v>46282.375</x:v>
      </x:c>
      <x:c r="R627" s="5" t="str"/>
    </x:row>
    <x:row r="628" ht="22" customHeight="1">
      <x:c r="A628" s="5" t="str">
        <x:v>Видео</x:v>
      </x:c>
      <x:c r="B628" s="5" t="str">
        <x:v>Midjourney Video</x:v>
      </x:c>
      <x:c r="C628" s="5" t="str">
        <x:v>Фото → видео</x:v>
      </x:c>
      <x:c r="D628" s="5" t="str">
        <x:v>480p</x:v>
      </x:c>
      <x:c r="E628" s="5" t="str">
        <x:v>—</x:v>
      </x:c>
      <x:c r="F628" s="5" t="n">
        <x:v>5</x:v>
      </x:c>
      <x:c r="G628" s="5" t="str">
        <x:v>—</x:v>
      </x:c>
      <x:c r="H628" s="5" t="str">
        <x:v>Синтетическое тестовое фото и промпт</x:v>
      </x:c>
      <x:c r="I628" s="6" t="n">
        <x:v>44</x:v>
      </x:c>
      <x:c r="J628" s="6" t="n">
        <x:v>44</x:v>
      </x:c>
      <x:c r="K628" s="5" t="str">
        <x:v>Точная цена в редакторе</x:v>
      </x:c>
      <x:c r="L628" s="5" t="str">
        <x:v>видео</x:v>
      </x:c>
      <x:c r="M628" s="7" t="n">
        <x:f>IF(J628="","",ROUND(J628*Tariffs!$D$5,2))</x:f>
        <x:v>36.59</x:v>
      </x:c>
      <x:c r="N628" s="7" t="n">
        <x:f>IF(J628="","",ROUND(J628*Tariffs!$D$6,2))</x:f>
        <x:v>36.63</x:v>
      </x:c>
      <x:c r="O628" s="7" t="n">
        <x:f>IF(J628="","",ROUND(J628*Tariffs!$D$7,2))</x:f>
        <x:v>36.66</x:v>
      </x:c>
      <x:c r="P628" s="5" t="str">
        <x:v>https://neuromia.ru/app/video/midjourney</x:v>
      </x:c>
      <x:c r="Q628" s="8" t="n">
        <x:v>46282.375</x:v>
      </x:c>
      <x:c r="R628" s="5" t="str"/>
    </x:row>
    <x:row r="629" ht="22" customHeight="1">
      <x:c r="A629" s="5" t="str">
        <x:v>Видео</x:v>
      </x:c>
      <x:c r="B629" s="5" t="str">
        <x:v>Midjourney Video</x:v>
      </x:c>
      <x:c r="C629" s="5" t="str">
        <x:v>Фото → видео</x:v>
      </x:c>
      <x:c r="D629" s="5" t="str">
        <x:v>720p</x:v>
      </x:c>
      <x:c r="E629" s="5" t="str">
        <x:v>—</x:v>
      </x:c>
      <x:c r="F629" s="5" t="n">
        <x:v>5</x:v>
      </x:c>
      <x:c r="G629" s="5" t="str">
        <x:v>—</x:v>
      </x:c>
      <x:c r="H629" s="5" t="str">
        <x:v>Синтетическое тестовое фото и промпт</x:v>
      </x:c>
      <x:c r="I629" s="6" t="n">
        <x:v>88</x:v>
      </x:c>
      <x:c r="J629" s="6" t="n">
        <x:v>88</x:v>
      </x:c>
      <x:c r="K629" s="5" t="str">
        <x:v>Точная цена в редакторе</x:v>
      </x:c>
      <x:c r="L629" s="5" t="str">
        <x:v>видео</x:v>
      </x:c>
      <x:c r="M629" s="7" t="n">
        <x:f>IF(J629="","",ROUND(J629*Tariffs!$D$5,2))</x:f>
        <x:v>73.19</x:v>
      </x:c>
      <x:c r="N629" s="7" t="n">
        <x:f>IF(J629="","",ROUND(J629*Tariffs!$D$6,2))</x:f>
        <x:v>73.26</x:v>
      </x:c>
      <x:c r="O629" s="7" t="n">
        <x:f>IF(J629="","",ROUND(J629*Tariffs!$D$7,2))</x:f>
        <x:v>73.32</x:v>
      </x:c>
      <x:c r="P629" s="5" t="str">
        <x:v>https://neuromia.ru/app/video/midjourney</x:v>
      </x:c>
      <x:c r="Q629" s="8" t="n">
        <x:v>46282.375</x:v>
      </x:c>
      <x:c r="R629" s="5" t="str"/>
    </x:row>
    <x:row r="630" ht="22" customHeight="1">
      <x:c r="A630" s="5" t="str">
        <x:v>Видео</x:v>
      </x:c>
      <x:c r="B630" s="5" t="str">
        <x:v>Hailuo Standard</x:v>
      </x:c>
      <x:c r="C630" s="5" t="str">
        <x:v>Текст → видео</x:v>
      </x:c>
      <x:c r="D630" s="5" t="str">
        <x:v>512P</x:v>
      </x:c>
      <x:c r="E630" s="5" t="str">
        <x:v>—</x:v>
      </x:c>
      <x:c r="F630" s="5" t="n">
        <x:v>6</x:v>
      </x:c>
      <x:c r="G630" s="5" t="str">
        <x:v>—</x:v>
      </x:c>
      <x:c r="H630" s="5" t="str">
        <x:v>Без исходного файла</x:v>
      </x:c>
      <x:c r="I630" s="6" t="n">
        <x:v>13.2</x:v>
      </x:c>
      <x:c r="J630" s="6" t="n">
        <x:v>13.2</x:v>
      </x:c>
      <x:c r="K630" s="5" t="str">
        <x:v>Точная цена в редакторе</x:v>
      </x:c>
      <x:c r="L630" s="5" t="str">
        <x:v>видео</x:v>
      </x:c>
      <x:c r="M630" s="7" t="n">
        <x:f>IF(J630="","",ROUND(J630*Tariffs!$D$5,2))</x:f>
        <x:v>10.98</x:v>
      </x:c>
      <x:c r="N630" s="7" t="n">
        <x:f>IF(J630="","",ROUND(J630*Tariffs!$D$6,2))</x:f>
        <x:v>10.99</x:v>
      </x:c>
      <x:c r="O630" s="7" t="n">
        <x:f>IF(J630="","",ROUND(J630*Tariffs!$D$7,2))</x:f>
        <x:v>11</x:v>
      </x:c>
      <x:c r="P630" s="5" t="str">
        <x:v>https://neuromia.ru/app/video/hailuo</x:v>
      </x:c>
      <x:c r="Q630" s="8" t="n">
        <x:v>46282.375</x:v>
      </x:c>
      <x:c r="R630" s="5" t="str"/>
    </x:row>
    <x:row r="631" ht="22" customHeight="1">
      <x:c r="A631" s="5" t="str">
        <x:v>Видео</x:v>
      </x:c>
      <x:c r="B631" s="5" t="str">
        <x:v>Hailuo Standard</x:v>
      </x:c>
      <x:c r="C631" s="5" t="str">
        <x:v>Текст → видео</x:v>
      </x:c>
      <x:c r="D631" s="5" t="str">
        <x:v>512P</x:v>
      </x:c>
      <x:c r="E631" s="5" t="str">
        <x:v>—</x:v>
      </x:c>
      <x:c r="F631" s="5" t="n">
        <x:v>10</x:v>
      </x:c>
      <x:c r="G631" s="5" t="str">
        <x:v>—</x:v>
      </x:c>
      <x:c r="H631" s="5" t="str">
        <x:v>Без исходного файла</x:v>
      </x:c>
      <x:c r="I631" s="6" t="n">
        <x:v>22</x:v>
      </x:c>
      <x:c r="J631" s="6" t="n">
        <x:v>22</x:v>
      </x:c>
      <x:c r="K631" s="5" t="str">
        <x:v>Точная цена в редакторе</x:v>
      </x:c>
      <x:c r="L631" s="5" t="str">
        <x:v>видео</x:v>
      </x:c>
      <x:c r="M631" s="7" t="n">
        <x:f>IF(J631="","",ROUND(J631*Tariffs!$D$5,2))</x:f>
        <x:v>18.3</x:v>
      </x:c>
      <x:c r="N631" s="7" t="n">
        <x:f>IF(J631="","",ROUND(J631*Tariffs!$D$6,2))</x:f>
        <x:v>18.32</x:v>
      </x:c>
      <x:c r="O631" s="7" t="n">
        <x:f>IF(J631="","",ROUND(J631*Tariffs!$D$7,2))</x:f>
        <x:v>18.33</x:v>
      </x:c>
      <x:c r="P631" s="5" t="str">
        <x:v>https://neuromia.ru/app/video/hailuo</x:v>
      </x:c>
      <x:c r="Q631" s="8" t="n">
        <x:v>46282.375</x:v>
      </x:c>
      <x:c r="R631" s="5" t="str"/>
    </x:row>
    <x:row r="632" ht="22" customHeight="1">
      <x:c r="A632" s="5" t="str">
        <x:v>Видео</x:v>
      </x:c>
      <x:c r="B632" s="5" t="str">
        <x:v>Hailuo Standard</x:v>
      </x:c>
      <x:c r="C632" s="5" t="str">
        <x:v>Текст → видео</x:v>
      </x:c>
      <x:c r="D632" s="5" t="str">
        <x:v>768P</x:v>
      </x:c>
      <x:c r="E632" s="5" t="str">
        <x:v>—</x:v>
      </x:c>
      <x:c r="F632" s="5" t="n">
        <x:v>6</x:v>
      </x:c>
      <x:c r="G632" s="5" t="str">
        <x:v>—</x:v>
      </x:c>
      <x:c r="H632" s="5" t="str">
        <x:v>Без исходного файла</x:v>
      </x:c>
      <x:c r="I632" s="6" t="n">
        <x:v>33</x:v>
      </x:c>
      <x:c r="J632" s="6" t="n">
        <x:v>33</x:v>
      </x:c>
      <x:c r="K632" s="5" t="str">
        <x:v>Точная цена в редакторе</x:v>
      </x:c>
      <x:c r="L632" s="5" t="str">
        <x:v>видео</x:v>
      </x:c>
      <x:c r="M632" s="7" t="n">
        <x:f>IF(J632="","",ROUND(J632*Tariffs!$D$5,2))</x:f>
        <x:v>27.45</x:v>
      </x:c>
      <x:c r="N632" s="7" t="n">
        <x:f>IF(J632="","",ROUND(J632*Tariffs!$D$6,2))</x:f>
        <x:v>27.47</x:v>
      </x:c>
      <x:c r="O632" s="7" t="n">
        <x:f>IF(J632="","",ROUND(J632*Tariffs!$D$7,2))</x:f>
        <x:v>27.49</x:v>
      </x:c>
      <x:c r="P632" s="5" t="str">
        <x:v>https://neuromia.ru/app/video/hailuo</x:v>
      </x:c>
      <x:c r="Q632" s="8" t="n">
        <x:v>46282.375</x:v>
      </x:c>
      <x:c r="R632" s="5" t="str"/>
    </x:row>
    <x:row r="633" ht="22" customHeight="1">
      <x:c r="A633" s="5" t="str">
        <x:v>Видео</x:v>
      </x:c>
      <x:c r="B633" s="5" t="str">
        <x:v>Hailuo Standard</x:v>
      </x:c>
      <x:c r="C633" s="5" t="str">
        <x:v>Текст → видео</x:v>
      </x:c>
      <x:c r="D633" s="5" t="str">
        <x:v>768P</x:v>
      </x:c>
      <x:c r="E633" s="5" t="str">
        <x:v>—</x:v>
      </x:c>
      <x:c r="F633" s="5" t="n">
        <x:v>10</x:v>
      </x:c>
      <x:c r="G633" s="5" t="str">
        <x:v>—</x:v>
      </x:c>
      <x:c r="H633" s="5" t="str">
        <x:v>Без исходного файла</x:v>
      </x:c>
      <x:c r="I633" s="6" t="n">
        <x:v>55</x:v>
      </x:c>
      <x:c r="J633" s="6" t="n">
        <x:v>55</x:v>
      </x:c>
      <x:c r="K633" s="5" t="str">
        <x:v>Точная цена в редакторе</x:v>
      </x:c>
      <x:c r="L633" s="5" t="str">
        <x:v>видео</x:v>
      </x:c>
      <x:c r="M633" s="7" t="n">
        <x:f>IF(J633="","",ROUND(J633*Tariffs!$D$5,2))</x:f>
        <x:v>45.74</x:v>
      </x:c>
      <x:c r="N633" s="7" t="n">
        <x:f>IF(J633="","",ROUND(J633*Tariffs!$D$6,2))</x:f>
        <x:v>45.79</x:v>
      </x:c>
      <x:c r="O633" s="7" t="n">
        <x:f>IF(J633="","",ROUND(J633*Tariffs!$D$7,2))</x:f>
        <x:v>45.82</x:v>
      </x:c>
      <x:c r="P633" s="5" t="str">
        <x:v>https://neuromia.ru/app/video/hailuo</x:v>
      </x:c>
      <x:c r="Q633" s="8" t="n">
        <x:v>46282.375</x:v>
      </x:c>
      <x:c r="R633" s="5" t="str"/>
    </x:row>
    <x:row r="634" ht="22" customHeight="1">
      <x:c r="A634" s="5" t="str">
        <x:v>Видео</x:v>
      </x:c>
      <x:c r="B634" s="5" t="str">
        <x:v>Hailuo Pro</x:v>
      </x:c>
      <x:c r="C634" s="5" t="str">
        <x:v>Текст → видео</x:v>
      </x:c>
      <x:c r="D634" s="5" t="str">
        <x:v>1080P</x:v>
      </x:c>
      <x:c r="E634" s="5" t="str">
        <x:v>—</x:v>
      </x:c>
      <x:c r="F634" s="5" t="n">
        <x:v>6</x:v>
      </x:c>
      <x:c r="G634" s="5" t="str">
        <x:v>—</x:v>
      </x:c>
      <x:c r="H634" s="5" t="str">
        <x:v>Без исходного файла</x:v>
      </x:c>
      <x:c r="I634" s="6" t="n">
        <x:v>62.7</x:v>
      </x:c>
      <x:c r="J634" s="6" t="n">
        <x:v>62.7</x:v>
      </x:c>
      <x:c r="K634" s="5" t="str">
        <x:v>Точная цена в редакторе</x:v>
      </x:c>
      <x:c r="L634" s="5" t="str">
        <x:v>видео</x:v>
      </x:c>
      <x:c r="M634" s="7" t="n">
        <x:f>IF(J634="","",ROUND(J634*Tariffs!$D$5,2))</x:f>
        <x:v>52.15</x:v>
      </x:c>
      <x:c r="N634" s="7" t="n">
        <x:f>IF(J634="","",ROUND(J634*Tariffs!$D$6,2))</x:f>
        <x:v>52.2</x:v>
      </x:c>
      <x:c r="O634" s="7" t="n">
        <x:f>IF(J634="","",ROUND(J634*Tariffs!$D$7,2))</x:f>
        <x:v>52.24</x:v>
      </x:c>
      <x:c r="P634" s="5" t="str">
        <x:v>https://neuromia.ru/app/video/hailuo</x:v>
      </x:c>
      <x:c r="Q634" s="8" t="n">
        <x:v>46282.375</x:v>
      </x:c>
      <x:c r="R634" s="5" t="str"/>
    </x:row>
    <x:row r="635" ht="22" customHeight="1">
      <x:c r="A635" s="5" t="str">
        <x:v>Видео</x:v>
      </x:c>
      <x:c r="B635" s="5" t="str">
        <x:v>Hailuo 2.3 Standard</x:v>
      </x:c>
      <x:c r="C635" s="5" t="str">
        <x:v>Фото → видео</x:v>
      </x:c>
      <x:c r="D635" s="5" t="str">
        <x:v>768P</x:v>
      </x:c>
      <x:c r="E635" s="5" t="str">
        <x:v>—</x:v>
      </x:c>
      <x:c r="F635" s="5" t="n">
        <x:v>6</x:v>
      </x:c>
      <x:c r="G635" s="5" t="str">
        <x:v>—</x:v>
      </x:c>
      <x:c r="H635" s="5" t="str">
        <x:v>Синтетическое тестовое фото и промпт</x:v>
      </x:c>
      <x:c r="I635" s="6" t="n">
        <x:v>33</x:v>
      </x:c>
      <x:c r="J635" s="6" t="n">
        <x:v>33</x:v>
      </x:c>
      <x:c r="K635" s="5" t="str">
        <x:v>Точная цена в редакторе</x:v>
      </x:c>
      <x:c r="L635" s="5" t="str">
        <x:v>видео</x:v>
      </x:c>
      <x:c r="M635" s="7" t="n">
        <x:f>IF(J635="","",ROUND(J635*Tariffs!$D$5,2))</x:f>
        <x:v>27.45</x:v>
      </x:c>
      <x:c r="N635" s="7" t="n">
        <x:f>IF(J635="","",ROUND(J635*Tariffs!$D$6,2))</x:f>
        <x:v>27.47</x:v>
      </x:c>
      <x:c r="O635" s="7" t="n">
        <x:f>IF(J635="","",ROUND(J635*Tariffs!$D$7,2))</x:f>
        <x:v>27.49</x:v>
      </x:c>
      <x:c r="P635" s="5" t="str">
        <x:v>https://neuromia.ru/app/video/hailuo</x:v>
      </x:c>
      <x:c r="Q635" s="8" t="n">
        <x:v>46282.375</x:v>
      </x:c>
      <x:c r="R635" s="5" t="str"/>
    </x:row>
    <x:row r="636" ht="22" customHeight="1">
      <x:c r="A636" s="5" t="str">
        <x:v>Видео</x:v>
      </x:c>
      <x:c r="B636" s="5" t="str">
        <x:v>Hailuo 2.3 Standard</x:v>
      </x:c>
      <x:c r="C636" s="5" t="str">
        <x:v>Фото → видео</x:v>
      </x:c>
      <x:c r="D636" s="5" t="str">
        <x:v>768P</x:v>
      </x:c>
      <x:c r="E636" s="5" t="str">
        <x:v>—</x:v>
      </x:c>
      <x:c r="F636" s="5" t="n">
        <x:v>10</x:v>
      </x:c>
      <x:c r="G636" s="5" t="str">
        <x:v>—</x:v>
      </x:c>
      <x:c r="H636" s="5" t="str">
        <x:v>Синтетическое тестовое фото и промпт</x:v>
      </x:c>
      <x:c r="I636" s="6" t="n">
        <x:v>55</x:v>
      </x:c>
      <x:c r="J636" s="6" t="n">
        <x:v>55</x:v>
      </x:c>
      <x:c r="K636" s="5" t="str">
        <x:v>Точная цена в редакторе</x:v>
      </x:c>
      <x:c r="L636" s="5" t="str">
        <x:v>видео</x:v>
      </x:c>
      <x:c r="M636" s="7" t="n">
        <x:f>IF(J636="","",ROUND(J636*Tariffs!$D$5,2))</x:f>
        <x:v>45.74</x:v>
      </x:c>
      <x:c r="N636" s="7" t="n">
        <x:f>IF(J636="","",ROUND(J636*Tariffs!$D$6,2))</x:f>
        <x:v>45.79</x:v>
      </x:c>
      <x:c r="O636" s="7" t="n">
        <x:f>IF(J636="","",ROUND(J636*Tariffs!$D$7,2))</x:f>
        <x:v>45.82</x:v>
      </x:c>
      <x:c r="P636" s="5" t="str">
        <x:v>https://neuromia.ru/app/video/hailuo</x:v>
      </x:c>
      <x:c r="Q636" s="8" t="n">
        <x:v>46282.375</x:v>
      </x:c>
      <x:c r="R636" s="5" t="str"/>
    </x:row>
    <x:row r="637" ht="22" customHeight="1">
      <x:c r="A637" s="5" t="str">
        <x:v>Видео</x:v>
      </x:c>
      <x:c r="B637" s="5" t="str">
        <x:v>Hailuo 2.3 Standard</x:v>
      </x:c>
      <x:c r="C637" s="5" t="str">
        <x:v>Фото → видео</x:v>
      </x:c>
      <x:c r="D637" s="5" t="str">
        <x:v>1080P</x:v>
      </x:c>
      <x:c r="E637" s="5" t="str">
        <x:v>—</x:v>
      </x:c>
      <x:c r="F637" s="5" t="n">
        <x:v>6</x:v>
      </x:c>
      <x:c r="G637" s="5" t="str">
        <x:v>—</x:v>
      </x:c>
      <x:c r="H637" s="5" t="str">
        <x:v>Синтетическое тестовое фото и промпт</x:v>
      </x:c>
      <x:c r="I637" s="6" t="n">
        <x:v>55</x:v>
      </x:c>
      <x:c r="J637" s="6" t="n">
        <x:v>55</x:v>
      </x:c>
      <x:c r="K637" s="5" t="str">
        <x:v>Точная цена в редакторе</x:v>
      </x:c>
      <x:c r="L637" s="5" t="str">
        <x:v>видео</x:v>
      </x:c>
      <x:c r="M637" s="7" t="n">
        <x:f>IF(J637="","",ROUND(J637*Tariffs!$D$5,2))</x:f>
        <x:v>45.74</x:v>
      </x:c>
      <x:c r="N637" s="7" t="n">
        <x:f>IF(J637="","",ROUND(J637*Tariffs!$D$6,2))</x:f>
        <x:v>45.79</x:v>
      </x:c>
      <x:c r="O637" s="7" t="n">
        <x:f>IF(J637="","",ROUND(J637*Tariffs!$D$7,2))</x:f>
        <x:v>45.82</x:v>
      </x:c>
      <x:c r="P637" s="5" t="str">
        <x:v>https://neuromia.ru/app/video/hailuo</x:v>
      </x:c>
      <x:c r="Q637" s="8" t="n">
        <x:v>46282.375</x:v>
      </x:c>
      <x:c r="R637" s="5" t="str">
        <x:v>1080P/10 с недоступно.</x:v>
      </x:c>
    </x:row>
    <x:row r="638" ht="22" customHeight="1">
      <x:c r="A638" s="5" t="str">
        <x:v>Видео</x:v>
      </x:c>
      <x:c r="B638" s="5" t="str">
        <x:v>Hailuo 2.3 Pro</x:v>
      </x:c>
      <x:c r="C638" s="5" t="str">
        <x:v>Фото → видео</x:v>
      </x:c>
      <x:c r="D638" s="5" t="str">
        <x:v>768P</x:v>
      </x:c>
      <x:c r="E638" s="5" t="str">
        <x:v>—</x:v>
      </x:c>
      <x:c r="F638" s="5" t="n">
        <x:v>6</x:v>
      </x:c>
      <x:c r="G638" s="5" t="str">
        <x:v>—</x:v>
      </x:c>
      <x:c r="H638" s="5" t="str">
        <x:v>Синтетическое тестовое фото и промпт</x:v>
      </x:c>
      <x:c r="I638" s="6" t="n">
        <x:v>49.5</x:v>
      </x:c>
      <x:c r="J638" s="6" t="n">
        <x:v>49.5</x:v>
      </x:c>
      <x:c r="K638" s="5" t="str">
        <x:v>Точная цена в редакторе</x:v>
      </x:c>
      <x:c r="L638" s="5" t="str">
        <x:v>видео</x:v>
      </x:c>
      <x:c r="M638" s="7" t="n">
        <x:f>IF(J638="","",ROUND(J638*Tariffs!$D$5,2))</x:f>
        <x:v>41.17</x:v>
      </x:c>
      <x:c r="N638" s="7" t="n">
        <x:f>IF(J638="","",ROUND(J638*Tariffs!$D$6,2))</x:f>
        <x:v>41.21</x:v>
      </x:c>
      <x:c r="O638" s="7" t="n">
        <x:f>IF(J638="","",ROUND(J638*Tariffs!$D$7,2))</x:f>
        <x:v>41.24</x:v>
      </x:c>
      <x:c r="P638" s="5" t="str">
        <x:v>https://neuromia.ru/app/video/hailuo</x:v>
      </x:c>
      <x:c r="Q638" s="8" t="n">
        <x:v>46282.375</x:v>
      </x:c>
      <x:c r="R638" s="5" t="str"/>
    </x:row>
    <x:row r="639" ht="22" customHeight="1">
      <x:c r="A639" s="5" t="str">
        <x:v>Видео</x:v>
      </x:c>
      <x:c r="B639" s="5" t="str">
        <x:v>Hailuo 2.3 Pro</x:v>
      </x:c>
      <x:c r="C639" s="5" t="str">
        <x:v>Фото → видео</x:v>
      </x:c>
      <x:c r="D639" s="5" t="str">
        <x:v>768P</x:v>
      </x:c>
      <x:c r="E639" s="5" t="str">
        <x:v>—</x:v>
      </x:c>
      <x:c r="F639" s="5" t="n">
        <x:v>10</x:v>
      </x:c>
      <x:c r="G639" s="5" t="str">
        <x:v>—</x:v>
      </x:c>
      <x:c r="H639" s="5" t="str">
        <x:v>Синтетическое тестовое фото и промпт</x:v>
      </x:c>
      <x:c r="I639" s="6" t="n">
        <x:v>99</x:v>
      </x:c>
      <x:c r="J639" s="6" t="n">
        <x:v>99</x:v>
      </x:c>
      <x:c r="K639" s="5" t="str">
        <x:v>Точная цена в редакторе</x:v>
      </x:c>
      <x:c r="L639" s="5" t="str">
        <x:v>видео</x:v>
      </x:c>
      <x:c r="M639" s="7" t="n">
        <x:f>IF(J639="","",ROUND(J639*Tariffs!$D$5,2))</x:f>
        <x:v>82.34</x:v>
      </x:c>
      <x:c r="N639" s="7" t="n">
        <x:f>IF(J639="","",ROUND(J639*Tariffs!$D$6,2))</x:f>
        <x:v>82.42</x:v>
      </x:c>
      <x:c r="O639" s="7" t="n">
        <x:f>IF(J639="","",ROUND(J639*Tariffs!$D$7,2))</x:f>
        <x:v>82.48</x:v>
      </x:c>
      <x:c r="P639" s="5" t="str">
        <x:v>https://neuromia.ru/app/video/hailuo</x:v>
      </x:c>
      <x:c r="Q639" s="8" t="n">
        <x:v>46282.375</x:v>
      </x:c>
      <x:c r="R639" s="5" t="str"/>
    </x:row>
    <x:row r="640" ht="22" customHeight="1">
      <x:c r="A640" s="5" t="str">
        <x:v>Видео</x:v>
      </x:c>
      <x:c r="B640" s="5" t="str">
        <x:v>Hailuo 2.3 Pro</x:v>
      </x:c>
      <x:c r="C640" s="5" t="str">
        <x:v>Фото → видео</x:v>
      </x:c>
      <x:c r="D640" s="5" t="str">
        <x:v>1080P</x:v>
      </x:c>
      <x:c r="E640" s="5" t="str">
        <x:v>—</x:v>
      </x:c>
      <x:c r="F640" s="5" t="n">
        <x:v>6</x:v>
      </x:c>
      <x:c r="G640" s="5" t="str">
        <x:v>—</x:v>
      </x:c>
      <x:c r="H640" s="5" t="str">
        <x:v>Синтетическое тестовое фото и промпт</x:v>
      </x:c>
      <x:c r="I640" s="6" t="n">
        <x:v>88</x:v>
      </x:c>
      <x:c r="J640" s="6" t="n">
        <x:v>88</x:v>
      </x:c>
      <x:c r="K640" s="5" t="str">
        <x:v>Точная цена в редакторе</x:v>
      </x:c>
      <x:c r="L640" s="5" t="str">
        <x:v>видео</x:v>
      </x:c>
      <x:c r="M640" s="7" t="n">
        <x:f>IF(J640="","",ROUND(J640*Tariffs!$D$5,2))</x:f>
        <x:v>73.19</x:v>
      </x:c>
      <x:c r="N640" s="7" t="n">
        <x:f>IF(J640="","",ROUND(J640*Tariffs!$D$6,2))</x:f>
        <x:v>73.26</x:v>
      </x:c>
      <x:c r="O640" s="7" t="n">
        <x:f>IF(J640="","",ROUND(J640*Tariffs!$D$7,2))</x:f>
        <x:v>73.32</x:v>
      </x:c>
      <x:c r="P640" s="5" t="str">
        <x:v>https://neuromia.ru/app/video/hailuo</x:v>
      </x:c>
      <x:c r="Q640" s="8" t="n">
        <x:v>46282.375</x:v>
      </x:c>
      <x:c r="R640" s="5" t="str">
        <x:v>1080P/10 с недоступно.</x:v>
      </x:c>
    </x:row>
    <x:row r="641" ht="22" customHeight="1">
      <x:c r="A641" s="5" t="str">
        <x:v>Видео</x:v>
      </x:c>
      <x:c r="B641" s="5" t="str">
        <x:v>Topaz Video Upscale</x:v>
      </x:c>
      <x:c r="C641" s="5" t="str">
        <x:v>Улучшение видео</x:v>
      </x:c>
      <x:c r="D641" s="5" t="str">
        <x:v>1x</x:v>
      </x:c>
      <x:c r="E641" s="5" t="str">
        <x:v>—</x:v>
      </x:c>
      <x:c r="F641" s="5" t="str">
        <x:v>без видео</x:v>
      </x:c>
      <x:c r="G641" s="5" t="str">
        <x:v>—</x:v>
      </x:c>
      <x:c r="H641" s="5" t="str">
        <x:v>Исходное видео обязательно</x:v>
      </x:c>
      <x:c r="I641" s="6" t="n">
        <x:v>44</x:v>
      </x:c>
      <x:c r="J641" s="6"/>
      <x:c r="K641" s="5" t="str">
        <x:v>До загрузки файла</x:v>
      </x:c>
      <x:c r="L641" s="5" t="str">
        <x:v>видео</x:v>
      </x:c>
      <x:c r="M641" s="7" t="str">
        <x:f>IF(J641="","",ROUND(J641*Tariffs!$D$5,2))</x:f>
      </x:c>
      <x:c r="N641" s="7" t="str">
        <x:f>IF(J641="","",ROUND(J641*Tariffs!$D$6,2))</x:f>
      </x:c>
      <x:c r="O641" s="7" t="str">
        <x:f>IF(J641="","",ROUND(J641*Tariffs!$D$7,2))</x:f>
      </x:c>
      <x:c r="P641" s="5" t="str">
        <x:v>https://neuromia.ru/app/video/topaz</x:v>
      </x:c>
      <x:c r="Q641" s="8" t="n">
        <x:v>46282.375</x:v>
      </x:c>
      <x:c r="R641" s="5" t="str">
        <x:v>Стартовая сумма соответствует 5 с.</x:v>
      </x:c>
    </x:row>
    <x:row r="642" ht="22" customHeight="1">
      <x:c r="A642" s="5" t="str">
        <x:v>Видео</x:v>
      </x:c>
      <x:c r="B642" s="5" t="str">
        <x:v>Topaz Video Upscale</x:v>
      </x:c>
      <x:c r="C642" s="5" t="str">
        <x:v>Улучшение видео</x:v>
      </x:c>
      <x:c r="D642" s="5" t="str">
        <x:v>1x</x:v>
      </x:c>
      <x:c r="E642" s="5" t="str">
        <x:v>—</x:v>
      </x:c>
      <x:c r="F642" s="5" t="n">
        <x:v>6</x:v>
      </x:c>
      <x:c r="G642" s="5" t="str">
        <x:v>—</x:v>
      </x:c>
      <x:c r="H642" s="5" t="str">
        <x:v>Синтетическое видео H.264 загружено</x:v>
      </x:c>
      <x:c r="I642" s="6" t="n">
        <x:v>52.8</x:v>
      </x:c>
      <x:c r="J642" s="6" t="n">
        <x:v>52.8</x:v>
      </x:c>
      <x:c r="K642" s="5" t="str">
        <x:v>Точная цена в редакторе</x:v>
      </x:c>
      <x:c r="L642" s="5" t="str">
        <x:v>видео</x:v>
      </x:c>
      <x:c r="M642" s="7" t="n">
        <x:f>IF(J642="","",ROUND(J642*Tariffs!$D$5,2))</x:f>
        <x:v>43.91</x:v>
      </x:c>
      <x:c r="N642" s="7" t="n">
        <x:f>IF(J642="","",ROUND(J642*Tariffs!$D$6,2))</x:f>
        <x:v>43.96</x:v>
      </x:c>
      <x:c r="O642" s="7" t="n">
        <x:f>IF(J642="","",ROUND(J642*Tariffs!$D$7,2))</x:f>
        <x:v>43.99</x:v>
      </x:c>
      <x:c r="P642" s="5" t="str">
        <x:v>https://neuromia.ru/app/video/topaz</x:v>
      </x:c>
      <x:c r="Q642" s="8" t="n">
        <x:v>46282.375</x:v>
      </x:c>
      <x:c r="R642" s="5" t="str">
        <x:v>После чтения длительности H.264 цена изменилась. MPEG4-файл ранее не воспроизводился, поэтому его стартовая сумма не использована как точная.</x:v>
      </x:c>
    </x:row>
    <x:row r="643" ht="22" customHeight="1">
      <x:c r="A643" s="5" t="str">
        <x:v>Видео</x:v>
      </x:c>
      <x:c r="B643" s="5" t="str">
        <x:v>Topaz Video Upscale</x:v>
      </x:c>
      <x:c r="C643" s="5" t="str">
        <x:v>Улучшение видео</x:v>
      </x:c>
      <x:c r="D643" s="5" t="str">
        <x:v>1x</x:v>
      </x:c>
      <x:c r="E643" s="5" t="str">
        <x:v>—</x:v>
      </x:c>
      <x:c r="F643" s="5" t="n">
        <x:v>12</x:v>
      </x:c>
      <x:c r="G643" s="5" t="str">
        <x:v>—</x:v>
      </x:c>
      <x:c r="H643" s="5" t="str">
        <x:v>Синтетическое видео H.264 загружено</x:v>
      </x:c>
      <x:c r="I643" s="6" t="n">
        <x:v>105.6</x:v>
      </x:c>
      <x:c r="J643" s="6" t="n">
        <x:v>105.6</x:v>
      </x:c>
      <x:c r="K643" s="5" t="str">
        <x:v>Точная цена в редакторе</x:v>
      </x:c>
      <x:c r="L643" s="5" t="str">
        <x:v>видео</x:v>
      </x:c>
      <x:c r="M643" s="7" t="n">
        <x:f>IF(J643="","",ROUND(J643*Tariffs!$D$5,2))</x:f>
        <x:v>87.82</x:v>
      </x:c>
      <x:c r="N643" s="7" t="n">
        <x:f>IF(J643="","",ROUND(J643*Tariffs!$D$6,2))</x:f>
        <x:v>87.91</x:v>
      </x:c>
      <x:c r="O643" s="7" t="n">
        <x:f>IF(J643="","",ROUND(J643*Tariffs!$D$7,2))</x:f>
        <x:v>87.98</x:v>
      </x:c>
      <x:c r="P643" s="5" t="str">
        <x:v>https://neuromia.ru/app/video/topaz</x:v>
      </x:c>
      <x:c r="Q643" s="8" t="n">
        <x:v>46282.375</x:v>
      </x:c>
      <x:c r="R643" s="5" t="str">
        <x:v>После чтения длительности H.264 цена изменилась. MPEG4-файл ранее не воспроизводился, поэтому его стартовая сумма не использована как точная.</x:v>
      </x:c>
    </x:row>
    <x:row r="644" ht="22" customHeight="1">
      <x:c r="A644" s="5" t="str">
        <x:v>Видео</x:v>
      </x:c>
      <x:c r="B644" s="5" t="str">
        <x:v>Topaz Video Upscale</x:v>
      </x:c>
      <x:c r="C644" s="5" t="str">
        <x:v>Улучшение видео</x:v>
      </x:c>
      <x:c r="D644" s="5" t="str">
        <x:v>2x</x:v>
      </x:c>
      <x:c r="E644" s="5" t="str">
        <x:v>—</x:v>
      </x:c>
      <x:c r="F644" s="5" t="str">
        <x:v>без видео</x:v>
      </x:c>
      <x:c r="G644" s="5" t="str">
        <x:v>—</x:v>
      </x:c>
      <x:c r="H644" s="5" t="str">
        <x:v>Исходное видео обязательно</x:v>
      </x:c>
      <x:c r="I644" s="6" t="n">
        <x:v>44</x:v>
      </x:c>
      <x:c r="J644" s="6"/>
      <x:c r="K644" s="5" t="str">
        <x:v>До загрузки файла</x:v>
      </x:c>
      <x:c r="L644" s="5" t="str">
        <x:v>видео</x:v>
      </x:c>
      <x:c r="M644" s="7" t="str">
        <x:f>IF(J644="","",ROUND(J644*Tariffs!$D$5,2))</x:f>
      </x:c>
      <x:c r="N644" s="7" t="str">
        <x:f>IF(J644="","",ROUND(J644*Tariffs!$D$6,2))</x:f>
      </x:c>
      <x:c r="O644" s="7" t="str">
        <x:f>IF(J644="","",ROUND(J644*Tariffs!$D$7,2))</x:f>
      </x:c>
      <x:c r="P644" s="5" t="str">
        <x:v>https://neuromia.ru/app/video/topaz</x:v>
      </x:c>
      <x:c r="Q644" s="8" t="n">
        <x:v>46282.375</x:v>
      </x:c>
      <x:c r="R644" s="5" t="str">
        <x:v>Стартовая сумма соответствует 5 с.</x:v>
      </x:c>
    </x:row>
    <x:row r="645" ht="22" customHeight="1">
      <x:c r="A645" s="5" t="str">
        <x:v>Видео</x:v>
      </x:c>
      <x:c r="B645" s="5" t="str">
        <x:v>Topaz Video Upscale</x:v>
      </x:c>
      <x:c r="C645" s="5" t="str">
        <x:v>Улучшение видео</x:v>
      </x:c>
      <x:c r="D645" s="5" t="str">
        <x:v>2x</x:v>
      </x:c>
      <x:c r="E645" s="5" t="str">
        <x:v>—</x:v>
      </x:c>
      <x:c r="F645" s="5" t="n">
        <x:v>6</x:v>
      </x:c>
      <x:c r="G645" s="5" t="str">
        <x:v>—</x:v>
      </x:c>
      <x:c r="H645" s="5" t="str">
        <x:v>Синтетическое видео H.264 загружено</x:v>
      </x:c>
      <x:c r="I645" s="6" t="n">
        <x:v>52.8</x:v>
      </x:c>
      <x:c r="J645" s="6" t="n">
        <x:v>52.8</x:v>
      </x:c>
      <x:c r="K645" s="5" t="str">
        <x:v>Точная цена в редакторе</x:v>
      </x:c>
      <x:c r="L645" s="5" t="str">
        <x:v>видео</x:v>
      </x:c>
      <x:c r="M645" s="7" t="n">
        <x:f>IF(J645="","",ROUND(J645*Tariffs!$D$5,2))</x:f>
        <x:v>43.91</x:v>
      </x:c>
      <x:c r="N645" s="7" t="n">
        <x:f>IF(J645="","",ROUND(J645*Tariffs!$D$6,2))</x:f>
        <x:v>43.96</x:v>
      </x:c>
      <x:c r="O645" s="7" t="n">
        <x:f>IF(J645="","",ROUND(J645*Tariffs!$D$7,2))</x:f>
        <x:v>43.99</x:v>
      </x:c>
      <x:c r="P645" s="5" t="str">
        <x:v>https://neuromia.ru/app/video/topaz</x:v>
      </x:c>
      <x:c r="Q645" s="8" t="n">
        <x:v>46282.375</x:v>
      </x:c>
      <x:c r="R645" s="5" t="str">
        <x:v>После чтения длительности H.264 цена изменилась. MPEG4-файл ранее не воспроизводился, поэтому его стартовая сумма не использована как точная.</x:v>
      </x:c>
    </x:row>
    <x:row r="646" ht="22" customHeight="1">
      <x:c r="A646" s="5" t="str">
        <x:v>Видео</x:v>
      </x:c>
      <x:c r="B646" s="5" t="str">
        <x:v>Topaz Video Upscale</x:v>
      </x:c>
      <x:c r="C646" s="5" t="str">
        <x:v>Улучшение видео</x:v>
      </x:c>
      <x:c r="D646" s="5" t="str">
        <x:v>2x</x:v>
      </x:c>
      <x:c r="E646" s="5" t="str">
        <x:v>—</x:v>
      </x:c>
      <x:c r="F646" s="5" t="n">
        <x:v>12</x:v>
      </x:c>
      <x:c r="G646" s="5" t="str">
        <x:v>—</x:v>
      </x:c>
      <x:c r="H646" s="5" t="str">
        <x:v>Синтетическое видео H.264 загружено</x:v>
      </x:c>
      <x:c r="I646" s="6" t="n">
        <x:v>105.6</x:v>
      </x:c>
      <x:c r="J646" s="6" t="n">
        <x:v>105.6</x:v>
      </x:c>
      <x:c r="K646" s="5" t="str">
        <x:v>Точная цена в редакторе</x:v>
      </x:c>
      <x:c r="L646" s="5" t="str">
        <x:v>видео</x:v>
      </x:c>
      <x:c r="M646" s="7" t="n">
        <x:f>IF(J646="","",ROUND(J646*Tariffs!$D$5,2))</x:f>
        <x:v>87.82</x:v>
      </x:c>
      <x:c r="N646" s="7" t="n">
        <x:f>IF(J646="","",ROUND(J646*Tariffs!$D$6,2))</x:f>
        <x:v>87.91</x:v>
      </x:c>
      <x:c r="O646" s="7" t="n">
        <x:f>IF(J646="","",ROUND(J646*Tariffs!$D$7,2))</x:f>
        <x:v>87.98</x:v>
      </x:c>
      <x:c r="P646" s="5" t="str">
        <x:v>https://neuromia.ru/app/video/topaz</x:v>
      </x:c>
      <x:c r="Q646" s="8" t="n">
        <x:v>46282.375</x:v>
      </x:c>
      <x:c r="R646" s="5" t="str">
        <x:v>После чтения длительности H.264 цена изменилась. MPEG4-файл ранее не воспроизводился, поэтому его стартовая сумма не использована как точная.</x:v>
      </x:c>
    </x:row>
    <x:row r="647" ht="22" customHeight="1">
      <x:c r="A647" s="5" t="str">
        <x:v>Видео</x:v>
      </x:c>
      <x:c r="B647" s="5" t="str">
        <x:v>Topaz Video Upscale</x:v>
      </x:c>
      <x:c r="C647" s="5" t="str">
        <x:v>Улучшение видео</x:v>
      </x:c>
      <x:c r="D647" s="5" t="str">
        <x:v>4x</x:v>
      </x:c>
      <x:c r="E647" s="5" t="str">
        <x:v>—</x:v>
      </x:c>
      <x:c r="F647" s="5" t="str">
        <x:v>без видео</x:v>
      </x:c>
      <x:c r="G647" s="5" t="str">
        <x:v>—</x:v>
      </x:c>
      <x:c r="H647" s="5" t="str">
        <x:v>Исходное видео обязательно</x:v>
      </x:c>
      <x:c r="I647" s="6" t="n">
        <x:v>77</x:v>
      </x:c>
      <x:c r="J647" s="6"/>
      <x:c r="K647" s="5" t="str">
        <x:v>До загрузки файла</x:v>
      </x:c>
      <x:c r="L647" s="5" t="str">
        <x:v>видео</x:v>
      </x:c>
      <x:c r="M647" s="7" t="str">
        <x:f>IF(J647="","",ROUND(J647*Tariffs!$D$5,2))</x:f>
      </x:c>
      <x:c r="N647" s="7" t="str">
        <x:f>IF(J647="","",ROUND(J647*Tariffs!$D$6,2))</x:f>
      </x:c>
      <x:c r="O647" s="7" t="str">
        <x:f>IF(J647="","",ROUND(J647*Tariffs!$D$7,2))</x:f>
      </x:c>
      <x:c r="P647" s="5" t="str">
        <x:v>https://neuromia.ru/app/video/topaz</x:v>
      </x:c>
      <x:c r="Q647" s="8" t="n">
        <x:v>46282.375</x:v>
      </x:c>
      <x:c r="R647" s="5" t="str">
        <x:v>Стартовая сумма соответствует 5 с.</x:v>
      </x:c>
    </x:row>
    <x:row r="648" ht="22" customHeight="1">
      <x:c r="A648" s="5" t="str">
        <x:v>Видео</x:v>
      </x:c>
      <x:c r="B648" s="5" t="str">
        <x:v>Topaz Video Upscale</x:v>
      </x:c>
      <x:c r="C648" s="5" t="str">
        <x:v>Улучшение видео</x:v>
      </x:c>
      <x:c r="D648" s="5" t="str">
        <x:v>4x</x:v>
      </x:c>
      <x:c r="E648" s="5" t="str">
        <x:v>—</x:v>
      </x:c>
      <x:c r="F648" s="5" t="n">
        <x:v>6</x:v>
      </x:c>
      <x:c r="G648" s="5" t="str">
        <x:v>—</x:v>
      </x:c>
      <x:c r="H648" s="5" t="str">
        <x:v>Синтетическое видео H.264 загружено</x:v>
      </x:c>
      <x:c r="I648" s="6" t="n">
        <x:v>92.4</x:v>
      </x:c>
      <x:c r="J648" s="6" t="n">
        <x:v>92.4</x:v>
      </x:c>
      <x:c r="K648" s="5" t="str">
        <x:v>Точная цена в редакторе</x:v>
      </x:c>
      <x:c r="L648" s="5" t="str">
        <x:v>видео</x:v>
      </x:c>
      <x:c r="M648" s="7" t="n">
        <x:f>IF(J648="","",ROUND(J648*Tariffs!$D$5,2))</x:f>
        <x:v>76.85</x:v>
      </x:c>
      <x:c r="N648" s="7" t="n">
        <x:f>IF(J648="","",ROUND(J648*Tariffs!$D$6,2))</x:f>
        <x:v>76.92</x:v>
      </x:c>
      <x:c r="O648" s="7" t="n">
        <x:f>IF(J648="","",ROUND(J648*Tariffs!$D$7,2))</x:f>
        <x:v>76.98</x:v>
      </x:c>
      <x:c r="P648" s="5" t="str">
        <x:v>https://neuromia.ru/app/video/topaz</x:v>
      </x:c>
      <x:c r="Q648" s="8" t="n">
        <x:v>46282.375</x:v>
      </x:c>
      <x:c r="R648" s="5" t="str">
        <x:v>После чтения длительности H.264 цена изменилась. MPEG4-файл ранее не воспроизводился, поэтому его стартовая сумма не использована как точная.</x:v>
      </x:c>
    </x:row>
    <x:row r="649" ht="22" customHeight="1">
      <x:c r="A649" s="5" t="str">
        <x:v>Видео</x:v>
      </x:c>
      <x:c r="B649" s="5" t="str">
        <x:v>Topaz Video Upscale</x:v>
      </x:c>
      <x:c r="C649" s="5" t="str">
        <x:v>Улучшение видео</x:v>
      </x:c>
      <x:c r="D649" s="5" t="str">
        <x:v>4x</x:v>
      </x:c>
      <x:c r="E649" s="5" t="str">
        <x:v>—</x:v>
      </x:c>
      <x:c r="F649" s="5" t="n">
        <x:v>12</x:v>
      </x:c>
      <x:c r="G649" s="5" t="str">
        <x:v>—</x:v>
      </x:c>
      <x:c r="H649" s="5" t="str">
        <x:v>Синтетическое видео H.264 загружено</x:v>
      </x:c>
      <x:c r="I649" s="6" t="n">
        <x:v>184.8</x:v>
      </x:c>
      <x:c r="J649" s="6" t="n">
        <x:v>184.8</x:v>
      </x:c>
      <x:c r="K649" s="5" t="str">
        <x:v>Точная цена в редакторе</x:v>
      </x:c>
      <x:c r="L649" s="5" t="str">
        <x:v>видео</x:v>
      </x:c>
      <x:c r="M649" s="7" t="n">
        <x:f>IF(J649="","",ROUND(J649*Tariffs!$D$5,2))</x:f>
        <x:v>153.69</x:v>
      </x:c>
      <x:c r="N649" s="7" t="n">
        <x:f>IF(J649="","",ROUND(J649*Tariffs!$D$6,2))</x:f>
        <x:v>153.85</x:v>
      </x:c>
      <x:c r="O649" s="7" t="n">
        <x:f>IF(J649="","",ROUND(J649*Tariffs!$D$7,2))</x:f>
        <x:v>153.97</x:v>
      </x:c>
      <x:c r="P649" s="5" t="str">
        <x:v>https://neuromia.ru/app/video/topaz</x:v>
      </x:c>
      <x:c r="Q649" s="8" t="n">
        <x:v>46282.375</x:v>
      </x:c>
      <x:c r="R649" s="5" t="str">
        <x:v>После чтения длительности H.264 цена изменилась. MPEG4-файл ранее не воспроизводился, поэтому его стартовая сумма не использована как точная.</x:v>
      </x:c>
    </x:row>
    <x:row r="650" ht="22" customHeight="1">
      <x:c r="A650" s="5" t="str">
        <x:v>Музыка</x:v>
      </x:c>
      <x:c r="B650" s="5" t="str">
        <x:v>Suno V6</x:v>
      </x:c>
      <x:c r="C650" s="5" t="str">
        <x:v>Текст → музыка</x:v>
      </x:c>
      <x:c r="D650" s="5" t="str">
        <x:v>—</x:v>
      </x:c>
      <x:c r="E650" s="5" t="str">
        <x:v>—</x:v>
      </x:c>
      <x:c r="F650" s="5" t="str">
        <x:v>авто</x:v>
      </x:c>
      <x:c r="G650" s="5" t="str">
        <x:v>—</x:v>
      </x:c>
      <x:c r="H650" s="5" t="str">
        <x:v>2 варианта</x:v>
      </x:c>
      <x:c r="I650" s="6" t="n">
        <x:v>13.2</x:v>
      </x:c>
      <x:c r="J650" s="6" t="n">
        <x:v>13.2</x:v>
      </x:c>
      <x:c r="K650" s="5" t="str">
        <x:v>Точная цена в редакторе</x:v>
      </x:c>
      <x:c r="L650" s="5" t="str">
        <x:v>запуск (2 трека)</x:v>
      </x:c>
      <x:c r="M650" s="7" t="n">
        <x:f>IF(J650="","",ROUND(J650*Tariffs!$D$5,2))</x:f>
        <x:v>10.98</x:v>
      </x:c>
      <x:c r="N650" s="7" t="n">
        <x:f>IF(J650="","",ROUND(J650*Tariffs!$D$6,2))</x:f>
        <x:v>10.99</x:v>
      </x:c>
      <x:c r="O650" s="7" t="n">
        <x:f>IF(J650="","",ROUND(J650*Tariffs!$D$7,2))</x:f>
        <x:v>11</x:v>
      </x:c>
      <x:c r="P650" s="5" t="str">
        <x:v>https://neuromia.ru/app/music</x:v>
      </x:c>
      <x:c r="Q650" s="8" t="n">
        <x:v>46282.375</x:v>
      </x:c>
      <x:c r="R650" s="5" t="str"/>
    </x:row>
    <x:row r="651" ht="22" customHeight="1">
      <x:c r="A651" s="5" t="str">
        <x:v>Музыка</x:v>
      </x:c>
      <x:c r="B651" s="5" t="str">
        <x:v>Suno V6</x:v>
      </x:c>
      <x:c r="C651" s="5" t="str">
        <x:v>Свой текст</x:v>
      </x:c>
      <x:c r="D651" s="5" t="str">
        <x:v>—</x:v>
      </x:c>
      <x:c r="E651" s="5" t="str">
        <x:v>—</x:v>
      </x:c>
      <x:c r="F651" s="5" t="str">
        <x:v>Авто</x:v>
      </x:c>
      <x:c r="G651" s="5" t="str">
        <x:v>—</x:v>
      </x:c>
      <x:c r="H651" s="5" t="str">
        <x:v>2 варианта</x:v>
      </x:c>
      <x:c r="I651" s="6" t="n">
        <x:v>13.2</x:v>
      </x:c>
      <x:c r="J651" s="6" t="n">
        <x:v>13.2</x:v>
      </x:c>
      <x:c r="K651" s="5" t="str">
        <x:v>Точная цена в редакторе</x:v>
      </x:c>
      <x:c r="L651" s="5" t="str">
        <x:v>запуск (2 трека)</x:v>
      </x:c>
      <x:c r="M651" s="7" t="n">
        <x:f>IF(J651="","",ROUND(J651*Tariffs!$D$5,2))</x:f>
        <x:v>10.98</x:v>
      </x:c>
      <x:c r="N651" s="7" t="n">
        <x:f>IF(J651="","",ROUND(J651*Tariffs!$D$6,2))</x:f>
        <x:v>10.99</x:v>
      </x:c>
      <x:c r="O651" s="7" t="n">
        <x:f>IF(J651="","",ROUND(J651*Tariffs!$D$7,2))</x:f>
        <x:v>11</x:v>
      </x:c>
      <x:c r="P651" s="5" t="str">
        <x:v>https://neuromia.ru/app/music</x:v>
      </x:c>
      <x:c r="Q651" s="8" t="n">
        <x:v>46282.375</x:v>
      </x:c>
      <x:c r="R651" s="5" t="str">
        <x:v>Каждая длительность выбрана в настройках; цена не изменилась.</x:v>
      </x:c>
    </x:row>
    <x:row r="652" ht="22" customHeight="1">
      <x:c r="A652" s="5" t="str">
        <x:v>Музыка</x:v>
      </x:c>
      <x:c r="B652" s="5" t="str">
        <x:v>Suno V6</x:v>
      </x:c>
      <x:c r="C652" s="5" t="str">
        <x:v>Свой текст</x:v>
      </x:c>
      <x:c r="D652" s="5" t="str">
        <x:v>—</x:v>
      </x:c>
      <x:c r="E652" s="5" t="str">
        <x:v>—</x:v>
      </x:c>
      <x:c r="F652" s="5" t="str">
        <x:v>30 сек</x:v>
      </x:c>
      <x:c r="G652" s="5" t="str">
        <x:v>—</x:v>
      </x:c>
      <x:c r="H652" s="5" t="str">
        <x:v>2 варианта</x:v>
      </x:c>
      <x:c r="I652" s="6" t="n">
        <x:v>13.2</x:v>
      </x:c>
      <x:c r="J652" s="6" t="n">
        <x:v>13.2</x:v>
      </x:c>
      <x:c r="K652" s="5" t="str">
        <x:v>Точная цена в редакторе</x:v>
      </x:c>
      <x:c r="L652" s="5" t="str">
        <x:v>запуск (2 трека)</x:v>
      </x:c>
      <x:c r="M652" s="7" t="n">
        <x:f>IF(J652="","",ROUND(J652*Tariffs!$D$5,2))</x:f>
        <x:v>10.98</x:v>
      </x:c>
      <x:c r="N652" s="7" t="n">
        <x:f>IF(J652="","",ROUND(J652*Tariffs!$D$6,2))</x:f>
        <x:v>10.99</x:v>
      </x:c>
      <x:c r="O652" s="7" t="n">
        <x:f>IF(J652="","",ROUND(J652*Tariffs!$D$7,2))</x:f>
        <x:v>11</x:v>
      </x:c>
      <x:c r="P652" s="5" t="str">
        <x:v>https://neuromia.ru/app/music</x:v>
      </x:c>
      <x:c r="Q652" s="8" t="n">
        <x:v>46282.375</x:v>
      </x:c>
      <x:c r="R652" s="5" t="str">
        <x:v>Каждая длительность выбрана в настройках; цена не изменилась.</x:v>
      </x:c>
    </x:row>
    <x:row r="653" ht="22" customHeight="1">
      <x:c r="A653" s="5" t="str">
        <x:v>Музыка</x:v>
      </x:c>
      <x:c r="B653" s="5" t="str">
        <x:v>Suno V6</x:v>
      </x:c>
      <x:c r="C653" s="5" t="str">
        <x:v>Свой текст</x:v>
      </x:c>
      <x:c r="D653" s="5" t="str">
        <x:v>—</x:v>
      </x:c>
      <x:c r="E653" s="5" t="str">
        <x:v>—</x:v>
      </x:c>
      <x:c r="F653" s="5" t="str">
        <x:v>1 мин</x:v>
      </x:c>
      <x:c r="G653" s="5" t="str">
        <x:v>—</x:v>
      </x:c>
      <x:c r="H653" s="5" t="str">
        <x:v>2 варианта</x:v>
      </x:c>
      <x:c r="I653" s="6" t="n">
        <x:v>13.2</x:v>
      </x:c>
      <x:c r="J653" s="6" t="n">
        <x:v>13.2</x:v>
      </x:c>
      <x:c r="K653" s="5" t="str">
        <x:v>Точная цена в редакторе</x:v>
      </x:c>
      <x:c r="L653" s="5" t="str">
        <x:v>запуск (2 трека)</x:v>
      </x:c>
      <x:c r="M653" s="7" t="n">
        <x:f>IF(J653="","",ROUND(J653*Tariffs!$D$5,2))</x:f>
        <x:v>10.98</x:v>
      </x:c>
      <x:c r="N653" s="7" t="n">
        <x:f>IF(J653="","",ROUND(J653*Tariffs!$D$6,2))</x:f>
        <x:v>10.99</x:v>
      </x:c>
      <x:c r="O653" s="7" t="n">
        <x:f>IF(J653="","",ROUND(J653*Tariffs!$D$7,2))</x:f>
        <x:v>11</x:v>
      </x:c>
      <x:c r="P653" s="5" t="str">
        <x:v>https://neuromia.ru/app/music</x:v>
      </x:c>
      <x:c r="Q653" s="8" t="n">
        <x:v>46282.375</x:v>
      </x:c>
      <x:c r="R653" s="5" t="str">
        <x:v>Каждая длительность выбрана в настройках; цена не изменилась.</x:v>
      </x:c>
    </x:row>
    <x:row r="654" ht="22" customHeight="1">
      <x:c r="A654" s="5" t="str">
        <x:v>Музыка</x:v>
      </x:c>
      <x:c r="B654" s="5" t="str">
        <x:v>Suno V6</x:v>
      </x:c>
      <x:c r="C654" s="5" t="str">
        <x:v>Свой текст</x:v>
      </x:c>
      <x:c r="D654" s="5" t="str">
        <x:v>—</x:v>
      </x:c>
      <x:c r="E654" s="5" t="str">
        <x:v>—</x:v>
      </x:c>
      <x:c r="F654" s="5" t="str">
        <x:v>1,5 мин</x:v>
      </x:c>
      <x:c r="G654" s="5" t="str">
        <x:v>—</x:v>
      </x:c>
      <x:c r="H654" s="5" t="str">
        <x:v>2 варианта</x:v>
      </x:c>
      <x:c r="I654" s="6" t="n">
        <x:v>13.2</x:v>
      </x:c>
      <x:c r="J654" s="6" t="n">
        <x:v>13.2</x:v>
      </x:c>
      <x:c r="K654" s="5" t="str">
        <x:v>Точная цена в редакторе</x:v>
      </x:c>
      <x:c r="L654" s="5" t="str">
        <x:v>запуск (2 трека)</x:v>
      </x:c>
      <x:c r="M654" s="7" t="n">
        <x:f>IF(J654="","",ROUND(J654*Tariffs!$D$5,2))</x:f>
        <x:v>10.98</x:v>
      </x:c>
      <x:c r="N654" s="7" t="n">
        <x:f>IF(J654="","",ROUND(J654*Tariffs!$D$6,2))</x:f>
        <x:v>10.99</x:v>
      </x:c>
      <x:c r="O654" s="7" t="n">
        <x:f>IF(J654="","",ROUND(J654*Tariffs!$D$7,2))</x:f>
        <x:v>11</x:v>
      </x:c>
      <x:c r="P654" s="5" t="str">
        <x:v>https://neuromia.ru/app/music</x:v>
      </x:c>
      <x:c r="Q654" s="8" t="n">
        <x:v>46282.375</x:v>
      </x:c>
      <x:c r="R654" s="5" t="str">
        <x:v>Каждая длительность выбрана в настройках; цена не изменилась.</x:v>
      </x:c>
    </x:row>
    <x:row r="655" ht="22" customHeight="1">
      <x:c r="A655" s="5" t="str">
        <x:v>Музыка</x:v>
      </x:c>
      <x:c r="B655" s="5" t="str">
        <x:v>Suno V6</x:v>
      </x:c>
      <x:c r="C655" s="5" t="str">
        <x:v>Свой текст</x:v>
      </x:c>
      <x:c r="D655" s="5" t="str">
        <x:v>—</x:v>
      </x:c>
      <x:c r="E655" s="5" t="str">
        <x:v>—</x:v>
      </x:c>
      <x:c r="F655" s="5" t="str">
        <x:v>2 мин</x:v>
      </x:c>
      <x:c r="G655" s="5" t="str">
        <x:v>—</x:v>
      </x:c>
      <x:c r="H655" s="5" t="str">
        <x:v>2 варианта</x:v>
      </x:c>
      <x:c r="I655" s="6" t="n">
        <x:v>13.2</x:v>
      </x:c>
      <x:c r="J655" s="6" t="n">
        <x:v>13.2</x:v>
      </x:c>
      <x:c r="K655" s="5" t="str">
        <x:v>Точная цена в редакторе</x:v>
      </x:c>
      <x:c r="L655" s="5" t="str">
        <x:v>запуск (2 трека)</x:v>
      </x:c>
      <x:c r="M655" s="7" t="n">
        <x:f>IF(J655="","",ROUND(J655*Tariffs!$D$5,2))</x:f>
        <x:v>10.98</x:v>
      </x:c>
      <x:c r="N655" s="7" t="n">
        <x:f>IF(J655="","",ROUND(J655*Tariffs!$D$6,2))</x:f>
        <x:v>10.99</x:v>
      </x:c>
      <x:c r="O655" s="7" t="n">
        <x:f>IF(J655="","",ROUND(J655*Tariffs!$D$7,2))</x:f>
        <x:v>11</x:v>
      </x:c>
      <x:c r="P655" s="5" t="str">
        <x:v>https://neuromia.ru/app/music</x:v>
      </x:c>
      <x:c r="Q655" s="8" t="n">
        <x:v>46282.375</x:v>
      </x:c>
      <x:c r="R655" s="5" t="str">
        <x:v>Каждая длительность выбрана в настройках; цена не изменилась.</x:v>
      </x:c>
    </x:row>
    <x:row r="656" ht="22" customHeight="1">
      <x:c r="A656" s="5" t="str">
        <x:v>Музыка</x:v>
      </x:c>
      <x:c r="B656" s="5" t="str">
        <x:v>Suno V6</x:v>
      </x:c>
      <x:c r="C656" s="5" t="str">
        <x:v>Свой текст</x:v>
      </x:c>
      <x:c r="D656" s="5" t="str">
        <x:v>—</x:v>
      </x:c>
      <x:c r="E656" s="5" t="str">
        <x:v>—</x:v>
      </x:c>
      <x:c r="F656" s="5" t="str">
        <x:v>3 мин</x:v>
      </x:c>
      <x:c r="G656" s="5" t="str">
        <x:v>—</x:v>
      </x:c>
      <x:c r="H656" s="5" t="str">
        <x:v>2 варианта</x:v>
      </x:c>
      <x:c r="I656" s="6" t="n">
        <x:v>13.2</x:v>
      </x:c>
      <x:c r="J656" s="6" t="n">
        <x:v>13.2</x:v>
      </x:c>
      <x:c r="K656" s="5" t="str">
        <x:v>Точная цена в редакторе</x:v>
      </x:c>
      <x:c r="L656" s="5" t="str">
        <x:v>запуск (2 трека)</x:v>
      </x:c>
      <x:c r="M656" s="7" t="n">
        <x:f>IF(J656="","",ROUND(J656*Tariffs!$D$5,2))</x:f>
        <x:v>10.98</x:v>
      </x:c>
      <x:c r="N656" s="7" t="n">
        <x:f>IF(J656="","",ROUND(J656*Tariffs!$D$6,2))</x:f>
        <x:v>10.99</x:v>
      </x:c>
      <x:c r="O656" s="7" t="n">
        <x:f>IF(J656="","",ROUND(J656*Tariffs!$D$7,2))</x:f>
        <x:v>11</x:v>
      </x:c>
      <x:c r="P656" s="5" t="str">
        <x:v>https://neuromia.ru/app/music</x:v>
      </x:c>
      <x:c r="Q656" s="8" t="n">
        <x:v>46282.375</x:v>
      </x:c>
      <x:c r="R656" s="5" t="str">
        <x:v>Каждая длительность выбрана в настройках; цена не изменилась.</x:v>
      </x:c>
    </x:row>
    <x:row r="657" ht="22" customHeight="1">
      <x:c r="A657" s="5" t="str">
        <x:v>Музыка</x:v>
      </x:c>
      <x:c r="B657" s="5" t="str">
        <x:v>Suno V6</x:v>
      </x:c>
      <x:c r="C657" s="5" t="str">
        <x:v>Свой текст</x:v>
      </x:c>
      <x:c r="D657" s="5" t="str">
        <x:v>—</x:v>
      </x:c>
      <x:c r="E657" s="5" t="str">
        <x:v>—</x:v>
      </x:c>
      <x:c r="F657" s="5" t="str">
        <x:v>4 мин</x:v>
      </x:c>
      <x:c r="G657" s="5" t="str">
        <x:v>—</x:v>
      </x:c>
      <x:c r="H657" s="5" t="str">
        <x:v>2 варианта</x:v>
      </x:c>
      <x:c r="I657" s="6" t="n">
        <x:v>13.2</x:v>
      </x:c>
      <x:c r="J657" s="6" t="n">
        <x:v>13.2</x:v>
      </x:c>
      <x:c r="K657" s="5" t="str">
        <x:v>Точная цена в редакторе</x:v>
      </x:c>
      <x:c r="L657" s="5" t="str">
        <x:v>запуск (2 трека)</x:v>
      </x:c>
      <x:c r="M657" s="7" t="n">
        <x:f>IF(J657="","",ROUND(J657*Tariffs!$D$5,2))</x:f>
        <x:v>10.98</x:v>
      </x:c>
      <x:c r="N657" s="7" t="n">
        <x:f>IF(J657="","",ROUND(J657*Tariffs!$D$6,2))</x:f>
        <x:v>10.99</x:v>
      </x:c>
      <x:c r="O657" s="7" t="n">
        <x:f>IF(J657="","",ROUND(J657*Tariffs!$D$7,2))</x:f>
        <x:v>11</x:v>
      </x:c>
      <x:c r="P657" s="5" t="str">
        <x:v>https://neuromia.ru/app/music</x:v>
      </x:c>
      <x:c r="Q657" s="8" t="n">
        <x:v>46282.375</x:v>
      </x:c>
      <x:c r="R657" s="5" t="str">
        <x:v>Каждая длительность выбрана в настройках; цена не изменилась.</x:v>
      </x:c>
    </x:row>
    <x:row r="658" ht="22" customHeight="1">
      <x:c r="A658" s="5" t="str">
        <x:v>Музыка</x:v>
      </x:c>
      <x:c r="B658" s="5" t="str">
        <x:v>Suno V6</x:v>
      </x:c>
      <x:c r="C658" s="5" t="str">
        <x:v>Свой текст</x:v>
      </x:c>
      <x:c r="D658" s="5" t="str">
        <x:v>—</x:v>
      </x:c>
      <x:c r="E658" s="5" t="str">
        <x:v>—</x:v>
      </x:c>
      <x:c r="F658" s="5" t="str">
        <x:v>6 мин</x:v>
      </x:c>
      <x:c r="G658" s="5" t="str">
        <x:v>—</x:v>
      </x:c>
      <x:c r="H658" s="5" t="str">
        <x:v>2 варианта</x:v>
      </x:c>
      <x:c r="I658" s="6" t="n">
        <x:v>13.2</x:v>
      </x:c>
      <x:c r="J658" s="6" t="n">
        <x:v>13.2</x:v>
      </x:c>
      <x:c r="K658" s="5" t="str">
        <x:v>Точная цена в редакторе</x:v>
      </x:c>
      <x:c r="L658" s="5" t="str">
        <x:v>запуск (2 трека)</x:v>
      </x:c>
      <x:c r="M658" s="7" t="n">
        <x:f>IF(J658="","",ROUND(J658*Tariffs!$D$5,2))</x:f>
        <x:v>10.98</x:v>
      </x:c>
      <x:c r="N658" s="7" t="n">
        <x:f>IF(J658="","",ROUND(J658*Tariffs!$D$6,2))</x:f>
        <x:v>10.99</x:v>
      </x:c>
      <x:c r="O658" s="7" t="n">
        <x:f>IF(J658="","",ROUND(J658*Tariffs!$D$7,2))</x:f>
        <x:v>11</x:v>
      </x:c>
      <x:c r="P658" s="5" t="str">
        <x:v>https://neuromia.ru/app/music</x:v>
      </x:c>
      <x:c r="Q658" s="8" t="n">
        <x:v>46282.375</x:v>
      </x:c>
      <x:c r="R658" s="5" t="str">
        <x:v>Каждая длительность выбрана в настройках; цена не изменилась.</x:v>
      </x:c>
    </x:row>
    <x:row r="659" ht="22" customHeight="1">
      <x:c r="A659" s="5" t="str">
        <x:v>Музыка</x:v>
      </x:c>
      <x:c r="B659" s="5" t="str">
        <x:v>Suno V6</x:v>
      </x:c>
      <x:c r="C659" s="5" t="str">
        <x:v>Кавер</x:v>
      </x:c>
      <x:c r="D659" s="5" t="str">
        <x:v>—</x:v>
      </x:c>
      <x:c r="E659" s="5" t="str">
        <x:v>—</x:v>
      </x:c>
      <x:c r="F659" s="5" t="str">
        <x:v>6/12 с аудио</x:v>
      </x:c>
      <x:c r="G659" s="5" t="str">
        <x:v>—</x:v>
      </x:c>
      <x:c r="H659" s="5" t="str">
        <x:v>Синтетическое тестовое аудио и требуемый текст</x:v>
      </x:c>
      <x:c r="I659" s="6" t="n">
        <x:v>13.2</x:v>
      </x:c>
      <x:c r="J659" s="6" t="n">
        <x:v>13.2</x:v>
      </x:c>
      <x:c r="K659" s="5" t="str">
        <x:v>Точная цена в редакторе</x:v>
      </x:c>
      <x:c r="L659" s="5" t="str">
        <x:v>запуск (2 трека)</x:v>
      </x:c>
      <x:c r="M659" s="7" t="n">
        <x:f>IF(J659="","",ROUND(J659*Tariffs!$D$5,2))</x:f>
        <x:v>10.98</x:v>
      </x:c>
      <x:c r="N659" s="7" t="n">
        <x:f>IF(J659="","",ROUND(J659*Tariffs!$D$6,2))</x:f>
        <x:v>10.99</x:v>
      </x:c>
      <x:c r="O659" s="7" t="n">
        <x:f>IF(J659="","",ROUND(J659*Tariffs!$D$7,2))</x:f>
        <x:v>11</x:v>
      </x:c>
      <x:c r="P659" s="5" t="str">
        <x:v>https://neuromia.ru/app/music</x:v>
      </x:c>
      <x:c r="Q659" s="8" t="n">
        <x:v>46282.375</x:v>
      </x:c>
      <x:c r="R659" s="5" t="str">
        <x:v>После загрузки и заполнения обязательных полей цена 13,20 кр. за 2 варианта.</x:v>
      </x:c>
    </x:row>
    <x:row r="660" ht="22" customHeight="1">
      <x:c r="A660" s="5" t="str">
        <x:v>Музыка</x:v>
      </x:c>
      <x:c r="B660" s="5" t="str">
        <x:v>Suno V6</x:v>
      </x:c>
      <x:c r="C660" s="5" t="str">
        <x:v>Добавить вокал</x:v>
      </x:c>
      <x:c r="D660" s="5" t="str">
        <x:v>—</x:v>
      </x:c>
      <x:c r="E660" s="5" t="str">
        <x:v>—</x:v>
      </x:c>
      <x:c r="F660" s="5" t="str">
        <x:v>6/12 с аудио</x:v>
      </x:c>
      <x:c r="G660" s="5" t="str">
        <x:v>—</x:v>
      </x:c>
      <x:c r="H660" s="5" t="str">
        <x:v>Синтетическое тестовое аудио и требуемый текст</x:v>
      </x:c>
      <x:c r="I660" s="6" t="n">
        <x:v>13.2</x:v>
      </x:c>
      <x:c r="J660" s="6" t="n">
        <x:v>13.2</x:v>
      </x:c>
      <x:c r="K660" s="5" t="str">
        <x:v>Точная цена в редакторе</x:v>
      </x:c>
      <x:c r="L660" s="5" t="str">
        <x:v>запуск (2 трека)</x:v>
      </x:c>
      <x:c r="M660" s="7" t="n">
        <x:f>IF(J660="","",ROUND(J660*Tariffs!$D$5,2))</x:f>
        <x:v>10.98</x:v>
      </x:c>
      <x:c r="N660" s="7" t="n">
        <x:f>IF(J660="","",ROUND(J660*Tariffs!$D$6,2))</x:f>
        <x:v>10.99</x:v>
      </x:c>
      <x:c r="O660" s="7" t="n">
        <x:f>IF(J660="","",ROUND(J660*Tariffs!$D$7,2))</x:f>
        <x:v>11</x:v>
      </x:c>
      <x:c r="P660" s="5" t="str">
        <x:v>https://neuromia.ru/app/music</x:v>
      </x:c>
      <x:c r="Q660" s="8" t="n">
        <x:v>46282.375</x:v>
      </x:c>
      <x:c r="R660" s="5" t="str">
        <x:v>После загрузки и заполнения обязательных полей цена 13,20 кр. за 2 варианта.</x:v>
      </x:c>
    </x:row>
    <x:row r="661" ht="22" customHeight="1">
      <x:c r="A661" s="5" t="str">
        <x:v>Музыка</x:v>
      </x:c>
      <x:c r="B661" s="5" t="str">
        <x:v>Suno V6</x:v>
      </x:c>
      <x:c r="C661" s="5" t="str">
        <x:v>Добавить музыку</x:v>
      </x:c>
      <x:c r="D661" s="5" t="str">
        <x:v>—</x:v>
      </x:c>
      <x:c r="E661" s="5" t="str">
        <x:v>—</x:v>
      </x:c>
      <x:c r="F661" s="5" t="str">
        <x:v>6/12 с аудио</x:v>
      </x:c>
      <x:c r="G661" s="5" t="str">
        <x:v>—</x:v>
      </x:c>
      <x:c r="H661" s="5" t="str">
        <x:v>Синтетическое тестовое аудио и требуемый текст</x:v>
      </x:c>
      <x:c r="I661" s="6" t="n">
        <x:v>13.2</x:v>
      </x:c>
      <x:c r="J661" s="6" t="n">
        <x:v>13.2</x:v>
      </x:c>
      <x:c r="K661" s="5" t="str">
        <x:v>Точная цена в редакторе</x:v>
      </x:c>
      <x:c r="L661" s="5" t="str">
        <x:v>запуск (2 трека)</x:v>
      </x:c>
      <x:c r="M661" s="7" t="n">
        <x:f>IF(J661="","",ROUND(J661*Tariffs!$D$5,2))</x:f>
        <x:v>10.98</x:v>
      </x:c>
      <x:c r="N661" s="7" t="n">
        <x:f>IF(J661="","",ROUND(J661*Tariffs!$D$6,2))</x:f>
        <x:v>10.99</x:v>
      </x:c>
      <x:c r="O661" s="7" t="n">
        <x:f>IF(J661="","",ROUND(J661*Tariffs!$D$7,2))</x:f>
        <x:v>11</x:v>
      </x:c>
      <x:c r="P661" s="5" t="str">
        <x:v>https://neuromia.ru/app/music</x:v>
      </x:c>
      <x:c r="Q661" s="8" t="n">
        <x:v>46282.375</x:v>
      </x:c>
      <x:c r="R661" s="5" t="str">
        <x:v>После загрузки и заполнения обязательных полей цена 13,20 кр. за 2 варианта.</x:v>
      </x:c>
    </x:row>
    <x:row r="662" ht="22" customHeight="1">
      <x:c r="A662" s="5" t="str">
        <x:v>Музыка</x:v>
      </x:c>
      <x:c r="B662" s="5" t="str">
        <x:v>Suno V6</x:v>
      </x:c>
      <x:c r="C662" s="5" t="str">
        <x:v>Микс</x:v>
      </x:c>
      <x:c r="D662" s="5" t="str">
        <x:v>—</x:v>
      </x:c>
      <x:c r="E662" s="5" t="str">
        <x:v>—</x:v>
      </x:c>
      <x:c r="F662" s="5" t="str">
        <x:v>6/12 с аудио</x:v>
      </x:c>
      <x:c r="G662" s="5" t="str">
        <x:v>—</x:v>
      </x:c>
      <x:c r="H662" s="5" t="str">
        <x:v>Два синтетических тестовых аудио</x:v>
      </x:c>
      <x:c r="I662" s="6" t="n">
        <x:v>13.2</x:v>
      </x:c>
      <x:c r="J662" s="6" t="n">
        <x:v>13.2</x:v>
      </x:c>
      <x:c r="K662" s="5" t="str">
        <x:v>Точная цена в редакторе</x:v>
      </x:c>
      <x:c r="L662" s="5" t="str">
        <x:v>запуск (2 трека)</x:v>
      </x:c>
      <x:c r="M662" s="7" t="n">
        <x:f>IF(J662="","",ROUND(J662*Tariffs!$D$5,2))</x:f>
        <x:v>10.98</x:v>
      </x:c>
      <x:c r="N662" s="7" t="n">
        <x:f>IF(J662="","",ROUND(J662*Tariffs!$D$6,2))</x:f>
        <x:v>10.99</x:v>
      </x:c>
      <x:c r="O662" s="7" t="n">
        <x:f>IF(J662="","",ROUND(J662*Tariffs!$D$7,2))</x:f>
        <x:v>11</x:v>
      </x:c>
      <x:c r="P662" s="5" t="str">
        <x:v>https://neuromia.ru/app/music</x:v>
      </x:c>
      <x:c r="Q662" s="8" t="n">
        <x:v>46282.375</x:v>
      </x:c>
      <x:c r="R662" s="5" t="str">
        <x:v>После загрузки и заполнения обязательных полей цена 13,20 кр. за 2 варианта.</x:v>
      </x:c>
    </x:row>
    <x:row r="663" ht="22" customHeight="1">
      <x:c r="A663" s="5" t="str">
        <x:v>Музыка</x:v>
      </x:c>
      <x:c r="B663" s="5" t="str">
        <x:v>Suno V6 Wild</x:v>
      </x:c>
      <x:c r="C663" s="5" t="str">
        <x:v>Текст → музыка</x:v>
      </x:c>
      <x:c r="D663" s="5" t="str">
        <x:v>—</x:v>
      </x:c>
      <x:c r="E663" s="5" t="str">
        <x:v>—</x:v>
      </x:c>
      <x:c r="F663" s="5" t="str">
        <x:v>авто</x:v>
      </x:c>
      <x:c r="G663" s="5" t="str">
        <x:v>—</x:v>
      </x:c>
      <x:c r="H663" s="5" t="str">
        <x:v>2 варианта</x:v>
      </x:c>
      <x:c r="I663" s="6" t="n">
        <x:v>13.2</x:v>
      </x:c>
      <x:c r="J663" s="6" t="n">
        <x:v>13.2</x:v>
      </x:c>
      <x:c r="K663" s="5" t="str">
        <x:v>Точная цена в редакторе</x:v>
      </x:c>
      <x:c r="L663" s="5" t="str">
        <x:v>запуск (2 трека)</x:v>
      </x:c>
      <x:c r="M663" s="7" t="n">
        <x:f>IF(J663="","",ROUND(J663*Tariffs!$D$5,2))</x:f>
        <x:v>10.98</x:v>
      </x:c>
      <x:c r="N663" s="7" t="n">
        <x:f>IF(J663="","",ROUND(J663*Tariffs!$D$6,2))</x:f>
        <x:v>10.99</x:v>
      </x:c>
      <x:c r="O663" s="7" t="n">
        <x:f>IF(J663="","",ROUND(J663*Tariffs!$D$7,2))</x:f>
        <x:v>11</x:v>
      </x:c>
      <x:c r="P663" s="5" t="str">
        <x:v>https://neuromia.ru/app/music</x:v>
      </x:c>
      <x:c r="Q663" s="8" t="n">
        <x:v>46282.375</x:v>
      </x:c>
      <x:c r="R663" s="5" t="str"/>
    </x:row>
    <x:row r="664" ht="22" customHeight="1">
      <x:c r="A664" s="5" t="str">
        <x:v>Музыка</x:v>
      </x:c>
      <x:c r="B664" s="5" t="str">
        <x:v>Suno V6 Wild</x:v>
      </x:c>
      <x:c r="C664" s="5" t="str">
        <x:v>Свой текст</x:v>
      </x:c>
      <x:c r="D664" s="5" t="str">
        <x:v>—</x:v>
      </x:c>
      <x:c r="E664" s="5" t="str">
        <x:v>—</x:v>
      </x:c>
      <x:c r="F664" s="5" t="str">
        <x:v>Авто</x:v>
      </x:c>
      <x:c r="G664" s="5" t="str">
        <x:v>—</x:v>
      </x:c>
      <x:c r="H664" s="5" t="str">
        <x:v>2 варианта</x:v>
      </x:c>
      <x:c r="I664" s="6" t="n">
        <x:v>13.2</x:v>
      </x:c>
      <x:c r="J664" s="6" t="n">
        <x:v>13.2</x:v>
      </x:c>
      <x:c r="K664" s="5" t="str">
        <x:v>Точная цена в редакторе</x:v>
      </x:c>
      <x:c r="L664" s="5" t="str">
        <x:v>запуск (2 трека)</x:v>
      </x:c>
      <x:c r="M664" s="7" t="n">
        <x:f>IF(J664="","",ROUND(J664*Tariffs!$D$5,2))</x:f>
        <x:v>10.98</x:v>
      </x:c>
      <x:c r="N664" s="7" t="n">
        <x:f>IF(J664="","",ROUND(J664*Tariffs!$D$6,2))</x:f>
        <x:v>10.99</x:v>
      </x:c>
      <x:c r="O664" s="7" t="n">
        <x:f>IF(J664="","",ROUND(J664*Tariffs!$D$7,2))</x:f>
        <x:v>11</x:v>
      </x:c>
      <x:c r="P664" s="5" t="str">
        <x:v>https://neuromia.ru/app/music</x:v>
      </x:c>
      <x:c r="Q664" s="8" t="n">
        <x:v>46282.375</x:v>
      </x:c>
      <x:c r="R664" s="5" t="str">
        <x:v>Каждая длительность выбрана в настройках; цена не изменилась.</x:v>
      </x:c>
    </x:row>
    <x:row r="665" ht="22" customHeight="1">
      <x:c r="A665" s="5" t="str">
        <x:v>Музыка</x:v>
      </x:c>
      <x:c r="B665" s="5" t="str">
        <x:v>Suno V6 Wild</x:v>
      </x:c>
      <x:c r="C665" s="5" t="str">
        <x:v>Свой текст</x:v>
      </x:c>
      <x:c r="D665" s="5" t="str">
        <x:v>—</x:v>
      </x:c>
      <x:c r="E665" s="5" t="str">
        <x:v>—</x:v>
      </x:c>
      <x:c r="F665" s="5" t="str">
        <x:v>30 сек</x:v>
      </x:c>
      <x:c r="G665" s="5" t="str">
        <x:v>—</x:v>
      </x:c>
      <x:c r="H665" s="5" t="str">
        <x:v>2 варианта</x:v>
      </x:c>
      <x:c r="I665" s="6" t="n">
        <x:v>13.2</x:v>
      </x:c>
      <x:c r="J665" s="6" t="n">
        <x:v>13.2</x:v>
      </x:c>
      <x:c r="K665" s="5" t="str">
        <x:v>Точная цена в редакторе</x:v>
      </x:c>
      <x:c r="L665" s="5" t="str">
        <x:v>запуск (2 трека)</x:v>
      </x:c>
      <x:c r="M665" s="7" t="n">
        <x:f>IF(J665="","",ROUND(J665*Tariffs!$D$5,2))</x:f>
        <x:v>10.98</x:v>
      </x:c>
      <x:c r="N665" s="7" t="n">
        <x:f>IF(J665="","",ROUND(J665*Tariffs!$D$6,2))</x:f>
        <x:v>10.99</x:v>
      </x:c>
      <x:c r="O665" s="7" t="n">
        <x:f>IF(J665="","",ROUND(J665*Tariffs!$D$7,2))</x:f>
        <x:v>11</x:v>
      </x:c>
      <x:c r="P665" s="5" t="str">
        <x:v>https://neuromia.ru/app/music</x:v>
      </x:c>
      <x:c r="Q665" s="8" t="n">
        <x:v>46282.375</x:v>
      </x:c>
      <x:c r="R665" s="5" t="str">
        <x:v>Каждая длительность выбрана в настройках; цена не изменилась.</x:v>
      </x:c>
    </x:row>
    <x:row r="666" ht="22" customHeight="1">
      <x:c r="A666" s="5" t="str">
        <x:v>Музыка</x:v>
      </x:c>
      <x:c r="B666" s="5" t="str">
        <x:v>Suno V6 Wild</x:v>
      </x:c>
      <x:c r="C666" s="5" t="str">
        <x:v>Свой текст</x:v>
      </x:c>
      <x:c r="D666" s="5" t="str">
        <x:v>—</x:v>
      </x:c>
      <x:c r="E666" s="5" t="str">
        <x:v>—</x:v>
      </x:c>
      <x:c r="F666" s="5" t="str">
        <x:v>1 мин</x:v>
      </x:c>
      <x:c r="G666" s="5" t="str">
        <x:v>—</x:v>
      </x:c>
      <x:c r="H666" s="5" t="str">
        <x:v>2 варианта</x:v>
      </x:c>
      <x:c r="I666" s="6" t="n">
        <x:v>13.2</x:v>
      </x:c>
      <x:c r="J666" s="6" t="n">
        <x:v>13.2</x:v>
      </x:c>
      <x:c r="K666" s="5" t="str">
        <x:v>Точная цена в редакторе</x:v>
      </x:c>
      <x:c r="L666" s="5" t="str">
        <x:v>запуск (2 трека)</x:v>
      </x:c>
      <x:c r="M666" s="7" t="n">
        <x:f>IF(J666="","",ROUND(J666*Tariffs!$D$5,2))</x:f>
        <x:v>10.98</x:v>
      </x:c>
      <x:c r="N666" s="7" t="n">
        <x:f>IF(J666="","",ROUND(J666*Tariffs!$D$6,2))</x:f>
        <x:v>10.99</x:v>
      </x:c>
      <x:c r="O666" s="7" t="n">
        <x:f>IF(J666="","",ROUND(J666*Tariffs!$D$7,2))</x:f>
        <x:v>11</x:v>
      </x:c>
      <x:c r="P666" s="5" t="str">
        <x:v>https://neuromia.ru/app/music</x:v>
      </x:c>
      <x:c r="Q666" s="8" t="n">
        <x:v>46282.375</x:v>
      </x:c>
      <x:c r="R666" s="5" t="str">
        <x:v>Каждая длительность выбрана в настройках; цена не изменилась.</x:v>
      </x:c>
    </x:row>
    <x:row r="667" ht="22" customHeight="1">
      <x:c r="A667" s="5" t="str">
        <x:v>Музыка</x:v>
      </x:c>
      <x:c r="B667" s="5" t="str">
        <x:v>Suno V6 Wild</x:v>
      </x:c>
      <x:c r="C667" s="5" t="str">
        <x:v>Свой текст</x:v>
      </x:c>
      <x:c r="D667" s="5" t="str">
        <x:v>—</x:v>
      </x:c>
      <x:c r="E667" s="5" t="str">
        <x:v>—</x:v>
      </x:c>
      <x:c r="F667" s="5" t="str">
        <x:v>1,5 мин</x:v>
      </x:c>
      <x:c r="G667" s="5" t="str">
        <x:v>—</x:v>
      </x:c>
      <x:c r="H667" s="5" t="str">
        <x:v>2 варианта</x:v>
      </x:c>
      <x:c r="I667" s="6" t="n">
        <x:v>13.2</x:v>
      </x:c>
      <x:c r="J667" s="6" t="n">
        <x:v>13.2</x:v>
      </x:c>
      <x:c r="K667" s="5" t="str">
        <x:v>Точная цена в редакторе</x:v>
      </x:c>
      <x:c r="L667" s="5" t="str">
        <x:v>запуск (2 трека)</x:v>
      </x:c>
      <x:c r="M667" s="7" t="n">
        <x:f>IF(J667="","",ROUND(J667*Tariffs!$D$5,2))</x:f>
        <x:v>10.98</x:v>
      </x:c>
      <x:c r="N667" s="7" t="n">
        <x:f>IF(J667="","",ROUND(J667*Tariffs!$D$6,2))</x:f>
        <x:v>10.99</x:v>
      </x:c>
      <x:c r="O667" s="7" t="n">
        <x:f>IF(J667="","",ROUND(J667*Tariffs!$D$7,2))</x:f>
        <x:v>11</x:v>
      </x:c>
      <x:c r="P667" s="5" t="str">
        <x:v>https://neuromia.ru/app/music</x:v>
      </x:c>
      <x:c r="Q667" s="8" t="n">
        <x:v>46282.375</x:v>
      </x:c>
      <x:c r="R667" s="5" t="str">
        <x:v>Каждая длительность выбрана в настройках; цена не изменилась.</x:v>
      </x:c>
    </x:row>
    <x:row r="668" ht="22" customHeight="1">
      <x:c r="A668" s="5" t="str">
        <x:v>Музыка</x:v>
      </x:c>
      <x:c r="B668" s="5" t="str">
        <x:v>Suno V6 Wild</x:v>
      </x:c>
      <x:c r="C668" s="5" t="str">
        <x:v>Свой текст</x:v>
      </x:c>
      <x:c r="D668" s="5" t="str">
        <x:v>—</x:v>
      </x:c>
      <x:c r="E668" s="5" t="str">
        <x:v>—</x:v>
      </x:c>
      <x:c r="F668" s="5" t="str">
        <x:v>2 мин</x:v>
      </x:c>
      <x:c r="G668" s="5" t="str">
        <x:v>—</x:v>
      </x:c>
      <x:c r="H668" s="5" t="str">
        <x:v>2 варианта</x:v>
      </x:c>
      <x:c r="I668" s="6" t="n">
        <x:v>13.2</x:v>
      </x:c>
      <x:c r="J668" s="6" t="n">
        <x:v>13.2</x:v>
      </x:c>
      <x:c r="K668" s="5" t="str">
        <x:v>Точная цена в редакторе</x:v>
      </x:c>
      <x:c r="L668" s="5" t="str">
        <x:v>запуск (2 трека)</x:v>
      </x:c>
      <x:c r="M668" s="7" t="n">
        <x:f>IF(J668="","",ROUND(J668*Tariffs!$D$5,2))</x:f>
        <x:v>10.98</x:v>
      </x:c>
      <x:c r="N668" s="7" t="n">
        <x:f>IF(J668="","",ROUND(J668*Tariffs!$D$6,2))</x:f>
        <x:v>10.99</x:v>
      </x:c>
      <x:c r="O668" s="7" t="n">
        <x:f>IF(J668="","",ROUND(J668*Tariffs!$D$7,2))</x:f>
        <x:v>11</x:v>
      </x:c>
      <x:c r="P668" s="5" t="str">
        <x:v>https://neuromia.ru/app/music</x:v>
      </x:c>
      <x:c r="Q668" s="8" t="n">
        <x:v>46282.375</x:v>
      </x:c>
      <x:c r="R668" s="5" t="str">
        <x:v>Каждая длительность выбрана в настройках; цена не изменилась.</x:v>
      </x:c>
    </x:row>
    <x:row r="669" ht="22" customHeight="1">
      <x:c r="A669" s="5" t="str">
        <x:v>Музыка</x:v>
      </x:c>
      <x:c r="B669" s="5" t="str">
        <x:v>Suno V6 Wild</x:v>
      </x:c>
      <x:c r="C669" s="5" t="str">
        <x:v>Свой текст</x:v>
      </x:c>
      <x:c r="D669" s="5" t="str">
        <x:v>—</x:v>
      </x:c>
      <x:c r="E669" s="5" t="str">
        <x:v>—</x:v>
      </x:c>
      <x:c r="F669" s="5" t="str">
        <x:v>3 мин</x:v>
      </x:c>
      <x:c r="G669" s="5" t="str">
        <x:v>—</x:v>
      </x:c>
      <x:c r="H669" s="5" t="str">
        <x:v>2 варианта</x:v>
      </x:c>
      <x:c r="I669" s="6" t="n">
        <x:v>13.2</x:v>
      </x:c>
      <x:c r="J669" s="6" t="n">
        <x:v>13.2</x:v>
      </x:c>
      <x:c r="K669" s="5" t="str">
        <x:v>Точная цена в редакторе</x:v>
      </x:c>
      <x:c r="L669" s="5" t="str">
        <x:v>запуск (2 трека)</x:v>
      </x:c>
      <x:c r="M669" s="7" t="n">
        <x:f>IF(J669="","",ROUND(J669*Tariffs!$D$5,2))</x:f>
        <x:v>10.98</x:v>
      </x:c>
      <x:c r="N669" s="7" t="n">
        <x:f>IF(J669="","",ROUND(J669*Tariffs!$D$6,2))</x:f>
        <x:v>10.99</x:v>
      </x:c>
      <x:c r="O669" s="7" t="n">
        <x:f>IF(J669="","",ROUND(J669*Tariffs!$D$7,2))</x:f>
        <x:v>11</x:v>
      </x:c>
      <x:c r="P669" s="5" t="str">
        <x:v>https://neuromia.ru/app/music</x:v>
      </x:c>
      <x:c r="Q669" s="8" t="n">
        <x:v>46282.375</x:v>
      </x:c>
      <x:c r="R669" s="5" t="str">
        <x:v>Каждая длительность выбрана в настройках; цена не изменилась.</x:v>
      </x:c>
    </x:row>
    <x:row r="670" ht="22" customHeight="1">
      <x:c r="A670" s="5" t="str">
        <x:v>Музыка</x:v>
      </x:c>
      <x:c r="B670" s="5" t="str">
        <x:v>Suno V6 Wild</x:v>
      </x:c>
      <x:c r="C670" s="5" t="str">
        <x:v>Свой текст</x:v>
      </x:c>
      <x:c r="D670" s="5" t="str">
        <x:v>—</x:v>
      </x:c>
      <x:c r="E670" s="5" t="str">
        <x:v>—</x:v>
      </x:c>
      <x:c r="F670" s="5" t="str">
        <x:v>4 мин</x:v>
      </x:c>
      <x:c r="G670" s="5" t="str">
        <x:v>—</x:v>
      </x:c>
      <x:c r="H670" s="5" t="str">
        <x:v>2 варианта</x:v>
      </x:c>
      <x:c r="I670" s="6" t="n">
        <x:v>13.2</x:v>
      </x:c>
      <x:c r="J670" s="6" t="n">
        <x:v>13.2</x:v>
      </x:c>
      <x:c r="K670" s="5" t="str">
        <x:v>Точная цена в редакторе</x:v>
      </x:c>
      <x:c r="L670" s="5" t="str">
        <x:v>запуск (2 трека)</x:v>
      </x:c>
      <x:c r="M670" s="7" t="n">
        <x:f>IF(J670="","",ROUND(J670*Tariffs!$D$5,2))</x:f>
        <x:v>10.98</x:v>
      </x:c>
      <x:c r="N670" s="7" t="n">
        <x:f>IF(J670="","",ROUND(J670*Tariffs!$D$6,2))</x:f>
        <x:v>10.99</x:v>
      </x:c>
      <x:c r="O670" s="7" t="n">
        <x:f>IF(J670="","",ROUND(J670*Tariffs!$D$7,2))</x:f>
        <x:v>11</x:v>
      </x:c>
      <x:c r="P670" s="5" t="str">
        <x:v>https://neuromia.ru/app/music</x:v>
      </x:c>
      <x:c r="Q670" s="8" t="n">
        <x:v>46282.375</x:v>
      </x:c>
      <x:c r="R670" s="5" t="str">
        <x:v>Каждая длительность выбрана в настройках; цена не изменилась.</x:v>
      </x:c>
    </x:row>
    <x:row r="671" ht="22" customHeight="1">
      <x:c r="A671" s="5" t="str">
        <x:v>Музыка</x:v>
      </x:c>
      <x:c r="B671" s="5" t="str">
        <x:v>Suno V6 Wild</x:v>
      </x:c>
      <x:c r="C671" s="5" t="str">
        <x:v>Свой текст</x:v>
      </x:c>
      <x:c r="D671" s="5" t="str">
        <x:v>—</x:v>
      </x:c>
      <x:c r="E671" s="5" t="str">
        <x:v>—</x:v>
      </x:c>
      <x:c r="F671" s="5" t="str">
        <x:v>6 мин</x:v>
      </x:c>
      <x:c r="G671" s="5" t="str">
        <x:v>—</x:v>
      </x:c>
      <x:c r="H671" s="5" t="str">
        <x:v>2 варианта</x:v>
      </x:c>
      <x:c r="I671" s="6" t="n">
        <x:v>13.2</x:v>
      </x:c>
      <x:c r="J671" s="6" t="n">
        <x:v>13.2</x:v>
      </x:c>
      <x:c r="K671" s="5" t="str">
        <x:v>Точная цена в редакторе</x:v>
      </x:c>
      <x:c r="L671" s="5" t="str">
        <x:v>запуск (2 трека)</x:v>
      </x:c>
      <x:c r="M671" s="7" t="n">
        <x:f>IF(J671="","",ROUND(J671*Tariffs!$D$5,2))</x:f>
        <x:v>10.98</x:v>
      </x:c>
      <x:c r="N671" s="7" t="n">
        <x:f>IF(J671="","",ROUND(J671*Tariffs!$D$6,2))</x:f>
        <x:v>10.99</x:v>
      </x:c>
      <x:c r="O671" s="7" t="n">
        <x:f>IF(J671="","",ROUND(J671*Tariffs!$D$7,2))</x:f>
        <x:v>11</x:v>
      </x:c>
      <x:c r="P671" s="5" t="str">
        <x:v>https://neuromia.ru/app/music</x:v>
      </x:c>
      <x:c r="Q671" s="8" t="n">
        <x:v>46282.375</x:v>
      </x:c>
      <x:c r="R671" s="5" t="str">
        <x:v>Каждая длительность выбрана в настройках; цена не изменилась.</x:v>
      </x:c>
    </x:row>
    <x:row r="672" ht="22" customHeight="1">
      <x:c r="A672" s="5" t="str">
        <x:v>Музыка</x:v>
      </x:c>
      <x:c r="B672" s="5" t="str">
        <x:v>Suno V6 Wild</x:v>
      </x:c>
      <x:c r="C672" s="5" t="str">
        <x:v>Кавер</x:v>
      </x:c>
      <x:c r="D672" s="5" t="str">
        <x:v>—</x:v>
      </x:c>
      <x:c r="E672" s="5" t="str">
        <x:v>—</x:v>
      </x:c>
      <x:c r="F672" s="5" t="str">
        <x:v>6/12 с аудио</x:v>
      </x:c>
      <x:c r="G672" s="5" t="str">
        <x:v>—</x:v>
      </x:c>
      <x:c r="H672" s="5" t="str">
        <x:v>Синтетическое тестовое аудио и требуемый текст</x:v>
      </x:c>
      <x:c r="I672" s="6" t="n">
        <x:v>13.2</x:v>
      </x:c>
      <x:c r="J672" s="6" t="n">
        <x:v>13.2</x:v>
      </x:c>
      <x:c r="K672" s="5" t="str">
        <x:v>Точная цена в редакторе</x:v>
      </x:c>
      <x:c r="L672" s="5" t="str">
        <x:v>запуск (2 трека)</x:v>
      </x:c>
      <x:c r="M672" s="7" t="n">
        <x:f>IF(J672="","",ROUND(J672*Tariffs!$D$5,2))</x:f>
        <x:v>10.98</x:v>
      </x:c>
      <x:c r="N672" s="7" t="n">
        <x:f>IF(J672="","",ROUND(J672*Tariffs!$D$6,2))</x:f>
        <x:v>10.99</x:v>
      </x:c>
      <x:c r="O672" s="7" t="n">
        <x:f>IF(J672="","",ROUND(J672*Tariffs!$D$7,2))</x:f>
        <x:v>11</x:v>
      </x:c>
      <x:c r="P672" s="5" t="str">
        <x:v>https://neuromia.ru/app/music</x:v>
      </x:c>
      <x:c r="Q672" s="8" t="n">
        <x:v>46282.375</x:v>
      </x:c>
      <x:c r="R672" s="5" t="str">
        <x:v>После загрузки и заполнения обязательных полей цена 13,20 кр. за 2 варианта.</x:v>
      </x:c>
    </x:row>
    <x:row r="673" ht="22" customHeight="1">
      <x:c r="A673" s="5" t="str">
        <x:v>Музыка</x:v>
      </x:c>
      <x:c r="B673" s="5" t="str">
        <x:v>Suno V6 Wild</x:v>
      </x:c>
      <x:c r="C673" s="5" t="str">
        <x:v>Добавить вокал</x:v>
      </x:c>
      <x:c r="D673" s="5" t="str">
        <x:v>—</x:v>
      </x:c>
      <x:c r="E673" s="5" t="str">
        <x:v>—</x:v>
      </x:c>
      <x:c r="F673" s="5" t="str">
        <x:v>6/12 с аудио</x:v>
      </x:c>
      <x:c r="G673" s="5" t="str">
        <x:v>—</x:v>
      </x:c>
      <x:c r="H673" s="5" t="str">
        <x:v>Синтетическое тестовое аудио и требуемый текст</x:v>
      </x:c>
      <x:c r="I673" s="6" t="n">
        <x:v>13.2</x:v>
      </x:c>
      <x:c r="J673" s="6" t="n">
        <x:v>13.2</x:v>
      </x:c>
      <x:c r="K673" s="5" t="str">
        <x:v>Точная цена в редакторе</x:v>
      </x:c>
      <x:c r="L673" s="5" t="str">
        <x:v>запуск (2 трека)</x:v>
      </x:c>
      <x:c r="M673" s="7" t="n">
        <x:f>IF(J673="","",ROUND(J673*Tariffs!$D$5,2))</x:f>
        <x:v>10.98</x:v>
      </x:c>
      <x:c r="N673" s="7" t="n">
        <x:f>IF(J673="","",ROUND(J673*Tariffs!$D$6,2))</x:f>
        <x:v>10.99</x:v>
      </x:c>
      <x:c r="O673" s="7" t="n">
        <x:f>IF(J673="","",ROUND(J673*Tariffs!$D$7,2))</x:f>
        <x:v>11</x:v>
      </x:c>
      <x:c r="P673" s="5" t="str">
        <x:v>https://neuromia.ru/app/music</x:v>
      </x:c>
      <x:c r="Q673" s="8" t="n">
        <x:v>46282.375</x:v>
      </x:c>
      <x:c r="R673" s="5" t="str">
        <x:v>После загрузки и заполнения обязательных полей цена 13,20 кр. за 2 варианта.</x:v>
      </x:c>
    </x:row>
    <x:row r="674" ht="22" customHeight="1">
      <x:c r="A674" s="5" t="str">
        <x:v>Музыка</x:v>
      </x:c>
      <x:c r="B674" s="5" t="str">
        <x:v>Suno V6 Wild</x:v>
      </x:c>
      <x:c r="C674" s="5" t="str">
        <x:v>Добавить музыку</x:v>
      </x:c>
      <x:c r="D674" s="5" t="str">
        <x:v>—</x:v>
      </x:c>
      <x:c r="E674" s="5" t="str">
        <x:v>—</x:v>
      </x:c>
      <x:c r="F674" s="5" t="str">
        <x:v>6/12 с аудио</x:v>
      </x:c>
      <x:c r="G674" s="5" t="str">
        <x:v>—</x:v>
      </x:c>
      <x:c r="H674" s="5" t="str">
        <x:v>Синтетическое тестовое аудио и требуемый текст</x:v>
      </x:c>
      <x:c r="I674" s="6" t="n">
        <x:v>13.2</x:v>
      </x:c>
      <x:c r="J674" s="6" t="n">
        <x:v>13.2</x:v>
      </x:c>
      <x:c r="K674" s="5" t="str">
        <x:v>Точная цена в редакторе</x:v>
      </x:c>
      <x:c r="L674" s="5" t="str">
        <x:v>запуск (2 трека)</x:v>
      </x:c>
      <x:c r="M674" s="7" t="n">
        <x:f>IF(J674="","",ROUND(J674*Tariffs!$D$5,2))</x:f>
        <x:v>10.98</x:v>
      </x:c>
      <x:c r="N674" s="7" t="n">
        <x:f>IF(J674="","",ROUND(J674*Tariffs!$D$6,2))</x:f>
        <x:v>10.99</x:v>
      </x:c>
      <x:c r="O674" s="7" t="n">
        <x:f>IF(J674="","",ROUND(J674*Tariffs!$D$7,2))</x:f>
        <x:v>11</x:v>
      </x:c>
      <x:c r="P674" s="5" t="str">
        <x:v>https://neuromia.ru/app/music</x:v>
      </x:c>
      <x:c r="Q674" s="8" t="n">
        <x:v>46282.375</x:v>
      </x:c>
      <x:c r="R674" s="5" t="str">
        <x:v>После загрузки и заполнения обязательных полей цена 13,20 кр. за 2 варианта.</x:v>
      </x:c>
    </x:row>
    <x:row r="675" ht="22" customHeight="1">
      <x:c r="A675" s="5" t="str">
        <x:v>Музыка</x:v>
      </x:c>
      <x:c r="B675" s="5" t="str">
        <x:v>Suno V6 Wild</x:v>
      </x:c>
      <x:c r="C675" s="5" t="str">
        <x:v>Микс</x:v>
      </x:c>
      <x:c r="D675" s="5" t="str">
        <x:v>—</x:v>
      </x:c>
      <x:c r="E675" s="5" t="str">
        <x:v>—</x:v>
      </x:c>
      <x:c r="F675" s="5" t="str">
        <x:v>6/12 с аудио</x:v>
      </x:c>
      <x:c r="G675" s="5" t="str">
        <x:v>—</x:v>
      </x:c>
      <x:c r="H675" s="5" t="str">
        <x:v>Два синтетических тестовых аудио</x:v>
      </x:c>
      <x:c r="I675" s="6" t="n">
        <x:v>13.2</x:v>
      </x:c>
      <x:c r="J675" s="6" t="n">
        <x:v>13.2</x:v>
      </x:c>
      <x:c r="K675" s="5" t="str">
        <x:v>Точная цена в редакторе</x:v>
      </x:c>
      <x:c r="L675" s="5" t="str">
        <x:v>запуск (2 трека)</x:v>
      </x:c>
      <x:c r="M675" s="7" t="n">
        <x:f>IF(J675="","",ROUND(J675*Tariffs!$D$5,2))</x:f>
        <x:v>10.98</x:v>
      </x:c>
      <x:c r="N675" s="7" t="n">
        <x:f>IF(J675="","",ROUND(J675*Tariffs!$D$6,2))</x:f>
        <x:v>10.99</x:v>
      </x:c>
      <x:c r="O675" s="7" t="n">
        <x:f>IF(J675="","",ROUND(J675*Tariffs!$D$7,2))</x:f>
        <x:v>11</x:v>
      </x:c>
      <x:c r="P675" s="5" t="str">
        <x:v>https://neuromia.ru/app/music</x:v>
      </x:c>
      <x:c r="Q675" s="8" t="n">
        <x:v>46282.375</x:v>
      </x:c>
      <x:c r="R675" s="5" t="str">
        <x:v>После загрузки и заполнения обязательных полей цена 13,20 кр. за 2 варианта.</x:v>
      </x:c>
    </x:row>
    <x:row r="676" ht="22" customHeight="1">
      <x:c r="A676" s="5" t="str">
        <x:v>Музыка</x:v>
      </x:c>
      <x:c r="B676" s="5" t="str">
        <x:v>Suno V6 Mini</x:v>
      </x:c>
      <x:c r="C676" s="5" t="str">
        <x:v>Текст → музыка</x:v>
      </x:c>
      <x:c r="D676" s="5" t="str">
        <x:v>—</x:v>
      </x:c>
      <x:c r="E676" s="5" t="str">
        <x:v>—</x:v>
      </x:c>
      <x:c r="F676" s="5" t="str">
        <x:v>авто</x:v>
      </x:c>
      <x:c r="G676" s="5" t="str">
        <x:v>—</x:v>
      </x:c>
      <x:c r="H676" s="5" t="str">
        <x:v>2 варианта</x:v>
      </x:c>
      <x:c r="I676" s="6" t="n">
        <x:v>13.2</x:v>
      </x:c>
      <x:c r="J676" s="6" t="n">
        <x:v>13.2</x:v>
      </x:c>
      <x:c r="K676" s="5" t="str">
        <x:v>Точная цена в редакторе</x:v>
      </x:c>
      <x:c r="L676" s="5" t="str">
        <x:v>запуск (2 трека)</x:v>
      </x:c>
      <x:c r="M676" s="7" t="n">
        <x:f>IF(J676="","",ROUND(J676*Tariffs!$D$5,2))</x:f>
        <x:v>10.98</x:v>
      </x:c>
      <x:c r="N676" s="7" t="n">
        <x:f>IF(J676="","",ROUND(J676*Tariffs!$D$6,2))</x:f>
        <x:v>10.99</x:v>
      </x:c>
      <x:c r="O676" s="7" t="n">
        <x:f>IF(J676="","",ROUND(J676*Tariffs!$D$7,2))</x:f>
        <x:v>11</x:v>
      </x:c>
      <x:c r="P676" s="5" t="str">
        <x:v>https://neuromia.ru/app/music</x:v>
      </x:c>
      <x:c r="Q676" s="8" t="n">
        <x:v>46282.375</x:v>
      </x:c>
      <x:c r="R676" s="5" t="str"/>
    </x:row>
    <x:row r="677" ht="22" customHeight="1">
      <x:c r="A677" s="5" t="str">
        <x:v>Музыка</x:v>
      </x:c>
      <x:c r="B677" s="5" t="str">
        <x:v>Suno V6 Mini</x:v>
      </x:c>
      <x:c r="C677" s="5" t="str">
        <x:v>Свой текст</x:v>
      </x:c>
      <x:c r="D677" s="5" t="str">
        <x:v>—</x:v>
      </x:c>
      <x:c r="E677" s="5" t="str">
        <x:v>—</x:v>
      </x:c>
      <x:c r="F677" s="5" t="str">
        <x:v>Авто</x:v>
      </x:c>
      <x:c r="G677" s="5" t="str">
        <x:v>—</x:v>
      </x:c>
      <x:c r="H677" s="5" t="str">
        <x:v>2 варианта</x:v>
      </x:c>
      <x:c r="I677" s="6" t="n">
        <x:v>13.2</x:v>
      </x:c>
      <x:c r="J677" s="6" t="n">
        <x:v>13.2</x:v>
      </x:c>
      <x:c r="K677" s="5" t="str">
        <x:v>Точная цена в редакторе</x:v>
      </x:c>
      <x:c r="L677" s="5" t="str">
        <x:v>запуск (2 трека)</x:v>
      </x:c>
      <x:c r="M677" s="7" t="n">
        <x:f>IF(J677="","",ROUND(J677*Tariffs!$D$5,2))</x:f>
        <x:v>10.98</x:v>
      </x:c>
      <x:c r="N677" s="7" t="n">
        <x:f>IF(J677="","",ROUND(J677*Tariffs!$D$6,2))</x:f>
        <x:v>10.99</x:v>
      </x:c>
      <x:c r="O677" s="7" t="n">
        <x:f>IF(J677="","",ROUND(J677*Tariffs!$D$7,2))</x:f>
        <x:v>11</x:v>
      </x:c>
      <x:c r="P677" s="5" t="str">
        <x:v>https://neuromia.ru/app/music</x:v>
      </x:c>
      <x:c r="Q677" s="8" t="n">
        <x:v>46282.375</x:v>
      </x:c>
      <x:c r="R677" s="5" t="str">
        <x:v>Каждая длительность выбрана в настройках; цена не изменилась.</x:v>
      </x:c>
    </x:row>
    <x:row r="678" ht="22" customHeight="1">
      <x:c r="A678" s="5" t="str">
        <x:v>Музыка</x:v>
      </x:c>
      <x:c r="B678" s="5" t="str">
        <x:v>Suno V6 Mini</x:v>
      </x:c>
      <x:c r="C678" s="5" t="str">
        <x:v>Свой текст</x:v>
      </x:c>
      <x:c r="D678" s="5" t="str">
        <x:v>—</x:v>
      </x:c>
      <x:c r="E678" s="5" t="str">
        <x:v>—</x:v>
      </x:c>
      <x:c r="F678" s="5" t="str">
        <x:v>30 сек</x:v>
      </x:c>
      <x:c r="G678" s="5" t="str">
        <x:v>—</x:v>
      </x:c>
      <x:c r="H678" s="5" t="str">
        <x:v>2 варианта</x:v>
      </x:c>
      <x:c r="I678" s="6" t="n">
        <x:v>13.2</x:v>
      </x:c>
      <x:c r="J678" s="6" t="n">
        <x:v>13.2</x:v>
      </x:c>
      <x:c r="K678" s="5" t="str">
        <x:v>Точная цена в редакторе</x:v>
      </x:c>
      <x:c r="L678" s="5" t="str">
        <x:v>запуск (2 трека)</x:v>
      </x:c>
      <x:c r="M678" s="7" t="n">
        <x:f>IF(J678="","",ROUND(J678*Tariffs!$D$5,2))</x:f>
        <x:v>10.98</x:v>
      </x:c>
      <x:c r="N678" s="7" t="n">
        <x:f>IF(J678="","",ROUND(J678*Tariffs!$D$6,2))</x:f>
        <x:v>10.99</x:v>
      </x:c>
      <x:c r="O678" s="7" t="n">
        <x:f>IF(J678="","",ROUND(J678*Tariffs!$D$7,2))</x:f>
        <x:v>11</x:v>
      </x:c>
      <x:c r="P678" s="5" t="str">
        <x:v>https://neuromia.ru/app/music</x:v>
      </x:c>
      <x:c r="Q678" s="8" t="n">
        <x:v>46282.375</x:v>
      </x:c>
      <x:c r="R678" s="5" t="str">
        <x:v>Каждая длительность выбрана в настройках; цена не изменилась.</x:v>
      </x:c>
    </x:row>
    <x:row r="679" ht="22" customHeight="1">
      <x:c r="A679" s="5" t="str">
        <x:v>Музыка</x:v>
      </x:c>
      <x:c r="B679" s="5" t="str">
        <x:v>Suno V6 Mini</x:v>
      </x:c>
      <x:c r="C679" s="5" t="str">
        <x:v>Свой текст</x:v>
      </x:c>
      <x:c r="D679" s="5" t="str">
        <x:v>—</x:v>
      </x:c>
      <x:c r="E679" s="5" t="str">
        <x:v>—</x:v>
      </x:c>
      <x:c r="F679" s="5" t="str">
        <x:v>1 мин</x:v>
      </x:c>
      <x:c r="G679" s="5" t="str">
        <x:v>—</x:v>
      </x:c>
      <x:c r="H679" s="5" t="str">
        <x:v>2 варианта</x:v>
      </x:c>
      <x:c r="I679" s="6" t="n">
        <x:v>13.2</x:v>
      </x:c>
      <x:c r="J679" s="6" t="n">
        <x:v>13.2</x:v>
      </x:c>
      <x:c r="K679" s="5" t="str">
        <x:v>Точная цена в редакторе</x:v>
      </x:c>
      <x:c r="L679" s="5" t="str">
        <x:v>запуск (2 трека)</x:v>
      </x:c>
      <x:c r="M679" s="7" t="n">
        <x:f>IF(J679="","",ROUND(J679*Tariffs!$D$5,2))</x:f>
        <x:v>10.98</x:v>
      </x:c>
      <x:c r="N679" s="7" t="n">
        <x:f>IF(J679="","",ROUND(J679*Tariffs!$D$6,2))</x:f>
        <x:v>10.99</x:v>
      </x:c>
      <x:c r="O679" s="7" t="n">
        <x:f>IF(J679="","",ROUND(J679*Tariffs!$D$7,2))</x:f>
        <x:v>11</x:v>
      </x:c>
      <x:c r="P679" s="5" t="str">
        <x:v>https://neuromia.ru/app/music</x:v>
      </x:c>
      <x:c r="Q679" s="8" t="n">
        <x:v>46282.375</x:v>
      </x:c>
      <x:c r="R679" s="5" t="str">
        <x:v>Каждая длительность выбрана в настройках; цена не изменилась.</x:v>
      </x:c>
    </x:row>
    <x:row r="680" ht="22" customHeight="1">
      <x:c r="A680" s="5" t="str">
        <x:v>Музыка</x:v>
      </x:c>
      <x:c r="B680" s="5" t="str">
        <x:v>Suno V6 Mini</x:v>
      </x:c>
      <x:c r="C680" s="5" t="str">
        <x:v>Свой текст</x:v>
      </x:c>
      <x:c r="D680" s="5" t="str">
        <x:v>—</x:v>
      </x:c>
      <x:c r="E680" s="5" t="str">
        <x:v>—</x:v>
      </x:c>
      <x:c r="F680" s="5" t="str">
        <x:v>1,5 мин</x:v>
      </x:c>
      <x:c r="G680" s="5" t="str">
        <x:v>—</x:v>
      </x:c>
      <x:c r="H680" s="5" t="str">
        <x:v>2 варианта</x:v>
      </x:c>
      <x:c r="I680" s="6" t="n">
        <x:v>13.2</x:v>
      </x:c>
      <x:c r="J680" s="6" t="n">
        <x:v>13.2</x:v>
      </x:c>
      <x:c r="K680" s="5" t="str">
        <x:v>Точная цена в редакторе</x:v>
      </x:c>
      <x:c r="L680" s="5" t="str">
        <x:v>запуск (2 трека)</x:v>
      </x:c>
      <x:c r="M680" s="7" t="n">
        <x:f>IF(J680="","",ROUND(J680*Tariffs!$D$5,2))</x:f>
        <x:v>10.98</x:v>
      </x:c>
      <x:c r="N680" s="7" t="n">
        <x:f>IF(J680="","",ROUND(J680*Tariffs!$D$6,2))</x:f>
        <x:v>10.99</x:v>
      </x:c>
      <x:c r="O680" s="7" t="n">
        <x:f>IF(J680="","",ROUND(J680*Tariffs!$D$7,2))</x:f>
        <x:v>11</x:v>
      </x:c>
      <x:c r="P680" s="5" t="str">
        <x:v>https://neuromia.ru/app/music</x:v>
      </x:c>
      <x:c r="Q680" s="8" t="n">
        <x:v>46282.375</x:v>
      </x:c>
      <x:c r="R680" s="5" t="str">
        <x:v>Каждая длительность выбрана в настройках; цена не изменилась.</x:v>
      </x:c>
    </x:row>
    <x:row r="681" ht="22" customHeight="1">
      <x:c r="A681" s="5" t="str">
        <x:v>Музыка</x:v>
      </x:c>
      <x:c r="B681" s="5" t="str">
        <x:v>Suno V6 Mini</x:v>
      </x:c>
      <x:c r="C681" s="5" t="str">
        <x:v>Свой текст</x:v>
      </x:c>
      <x:c r="D681" s="5" t="str">
        <x:v>—</x:v>
      </x:c>
      <x:c r="E681" s="5" t="str">
        <x:v>—</x:v>
      </x:c>
      <x:c r="F681" s="5" t="str">
        <x:v>2 мин</x:v>
      </x:c>
      <x:c r="G681" s="5" t="str">
        <x:v>—</x:v>
      </x:c>
      <x:c r="H681" s="5" t="str">
        <x:v>2 варианта</x:v>
      </x:c>
      <x:c r="I681" s="6" t="n">
        <x:v>13.2</x:v>
      </x:c>
      <x:c r="J681" s="6" t="n">
        <x:v>13.2</x:v>
      </x:c>
      <x:c r="K681" s="5" t="str">
        <x:v>Точная цена в редакторе</x:v>
      </x:c>
      <x:c r="L681" s="5" t="str">
        <x:v>запуск (2 трека)</x:v>
      </x:c>
      <x:c r="M681" s="7" t="n">
        <x:f>IF(J681="","",ROUND(J681*Tariffs!$D$5,2))</x:f>
        <x:v>10.98</x:v>
      </x:c>
      <x:c r="N681" s="7" t="n">
        <x:f>IF(J681="","",ROUND(J681*Tariffs!$D$6,2))</x:f>
        <x:v>10.99</x:v>
      </x:c>
      <x:c r="O681" s="7" t="n">
        <x:f>IF(J681="","",ROUND(J681*Tariffs!$D$7,2))</x:f>
        <x:v>11</x:v>
      </x:c>
      <x:c r="P681" s="5" t="str">
        <x:v>https://neuromia.ru/app/music</x:v>
      </x:c>
      <x:c r="Q681" s="8" t="n">
        <x:v>46282.375</x:v>
      </x:c>
      <x:c r="R681" s="5" t="str">
        <x:v>Каждая длительность выбрана в настройках; цена не изменилась.</x:v>
      </x:c>
    </x:row>
    <x:row r="682" ht="22" customHeight="1">
      <x:c r="A682" s="5" t="str">
        <x:v>Музыка</x:v>
      </x:c>
      <x:c r="B682" s="5" t="str">
        <x:v>Suno V6 Mini</x:v>
      </x:c>
      <x:c r="C682" s="5" t="str">
        <x:v>Свой текст</x:v>
      </x:c>
      <x:c r="D682" s="5" t="str">
        <x:v>—</x:v>
      </x:c>
      <x:c r="E682" s="5" t="str">
        <x:v>—</x:v>
      </x:c>
      <x:c r="F682" s="5" t="str">
        <x:v>3 мин</x:v>
      </x:c>
      <x:c r="G682" s="5" t="str">
        <x:v>—</x:v>
      </x:c>
      <x:c r="H682" s="5" t="str">
        <x:v>2 варианта</x:v>
      </x:c>
      <x:c r="I682" s="6" t="n">
        <x:v>13.2</x:v>
      </x:c>
      <x:c r="J682" s="6" t="n">
        <x:v>13.2</x:v>
      </x:c>
      <x:c r="K682" s="5" t="str">
        <x:v>Точная цена в редакторе</x:v>
      </x:c>
      <x:c r="L682" s="5" t="str">
        <x:v>запуск (2 трека)</x:v>
      </x:c>
      <x:c r="M682" s="7" t="n">
        <x:f>IF(J682="","",ROUND(J682*Tariffs!$D$5,2))</x:f>
        <x:v>10.98</x:v>
      </x:c>
      <x:c r="N682" s="7" t="n">
        <x:f>IF(J682="","",ROUND(J682*Tariffs!$D$6,2))</x:f>
        <x:v>10.99</x:v>
      </x:c>
      <x:c r="O682" s="7" t="n">
        <x:f>IF(J682="","",ROUND(J682*Tariffs!$D$7,2))</x:f>
        <x:v>11</x:v>
      </x:c>
      <x:c r="P682" s="5" t="str">
        <x:v>https://neuromia.ru/app/music</x:v>
      </x:c>
      <x:c r="Q682" s="8" t="n">
        <x:v>46282.375</x:v>
      </x:c>
      <x:c r="R682" s="5" t="str">
        <x:v>Каждая длительность выбрана в настройках; цена не изменилась.</x:v>
      </x:c>
    </x:row>
    <x:row r="683" ht="22" customHeight="1">
      <x:c r="A683" s="5" t="str">
        <x:v>Музыка</x:v>
      </x:c>
      <x:c r="B683" s="5" t="str">
        <x:v>Suno V6 Mini</x:v>
      </x:c>
      <x:c r="C683" s="5" t="str">
        <x:v>Свой текст</x:v>
      </x:c>
      <x:c r="D683" s="5" t="str">
        <x:v>—</x:v>
      </x:c>
      <x:c r="E683" s="5" t="str">
        <x:v>—</x:v>
      </x:c>
      <x:c r="F683" s="5" t="str">
        <x:v>4 мин</x:v>
      </x:c>
      <x:c r="G683" s="5" t="str">
        <x:v>—</x:v>
      </x:c>
      <x:c r="H683" s="5" t="str">
        <x:v>2 варианта</x:v>
      </x:c>
      <x:c r="I683" s="6" t="n">
        <x:v>13.2</x:v>
      </x:c>
      <x:c r="J683" s="6" t="n">
        <x:v>13.2</x:v>
      </x:c>
      <x:c r="K683" s="5" t="str">
        <x:v>Точная цена в редакторе</x:v>
      </x:c>
      <x:c r="L683" s="5" t="str">
        <x:v>запуск (2 трека)</x:v>
      </x:c>
      <x:c r="M683" s="7" t="n">
        <x:f>IF(J683="","",ROUND(J683*Tariffs!$D$5,2))</x:f>
        <x:v>10.98</x:v>
      </x:c>
      <x:c r="N683" s="7" t="n">
        <x:f>IF(J683="","",ROUND(J683*Tariffs!$D$6,2))</x:f>
        <x:v>10.99</x:v>
      </x:c>
      <x:c r="O683" s="7" t="n">
        <x:f>IF(J683="","",ROUND(J683*Tariffs!$D$7,2))</x:f>
        <x:v>11</x:v>
      </x:c>
      <x:c r="P683" s="5" t="str">
        <x:v>https://neuromia.ru/app/music</x:v>
      </x:c>
      <x:c r="Q683" s="8" t="n">
        <x:v>46282.375</x:v>
      </x:c>
      <x:c r="R683" s="5" t="str">
        <x:v>Каждая длительность выбрана в настройках; цена не изменилась.</x:v>
      </x:c>
    </x:row>
    <x:row r="684" ht="22" customHeight="1">
      <x:c r="A684" s="5" t="str">
        <x:v>Музыка</x:v>
      </x:c>
      <x:c r="B684" s="5" t="str">
        <x:v>Suno V6 Mini</x:v>
      </x:c>
      <x:c r="C684" s="5" t="str">
        <x:v>Свой текст</x:v>
      </x:c>
      <x:c r="D684" s="5" t="str">
        <x:v>—</x:v>
      </x:c>
      <x:c r="E684" s="5" t="str">
        <x:v>—</x:v>
      </x:c>
      <x:c r="F684" s="5" t="str">
        <x:v>6 мин</x:v>
      </x:c>
      <x:c r="G684" s="5" t="str">
        <x:v>—</x:v>
      </x:c>
      <x:c r="H684" s="5" t="str">
        <x:v>2 варианта</x:v>
      </x:c>
      <x:c r="I684" s="6" t="n">
        <x:v>13.2</x:v>
      </x:c>
      <x:c r="J684" s="6" t="n">
        <x:v>13.2</x:v>
      </x:c>
      <x:c r="K684" s="5" t="str">
        <x:v>Точная цена в редакторе</x:v>
      </x:c>
      <x:c r="L684" s="5" t="str">
        <x:v>запуск (2 трека)</x:v>
      </x:c>
      <x:c r="M684" s="7" t="n">
        <x:f>IF(J684="","",ROUND(J684*Tariffs!$D$5,2))</x:f>
        <x:v>10.98</x:v>
      </x:c>
      <x:c r="N684" s="7" t="n">
        <x:f>IF(J684="","",ROUND(J684*Tariffs!$D$6,2))</x:f>
        <x:v>10.99</x:v>
      </x:c>
      <x:c r="O684" s="7" t="n">
        <x:f>IF(J684="","",ROUND(J684*Tariffs!$D$7,2))</x:f>
        <x:v>11</x:v>
      </x:c>
      <x:c r="P684" s="5" t="str">
        <x:v>https://neuromia.ru/app/music</x:v>
      </x:c>
      <x:c r="Q684" s="8" t="n">
        <x:v>46282.375</x:v>
      </x:c>
      <x:c r="R684" s="5" t="str">
        <x:v>Каждая длительность выбрана в настройках; цена не изменилась.</x:v>
      </x:c>
    </x:row>
    <x:row r="685" ht="22" customHeight="1">
      <x:c r="A685" s="5" t="str">
        <x:v>Музыка</x:v>
      </x:c>
      <x:c r="B685" s="5" t="str">
        <x:v>Suno V6 Mini</x:v>
      </x:c>
      <x:c r="C685" s="5" t="str">
        <x:v>Кавер</x:v>
      </x:c>
      <x:c r="D685" s="5" t="str">
        <x:v>—</x:v>
      </x:c>
      <x:c r="E685" s="5" t="str">
        <x:v>—</x:v>
      </x:c>
      <x:c r="F685" s="5" t="str">
        <x:v>6/12 с аудио</x:v>
      </x:c>
      <x:c r="G685" s="5" t="str">
        <x:v>—</x:v>
      </x:c>
      <x:c r="H685" s="5" t="str">
        <x:v>Синтетическое тестовое аудио и требуемый текст</x:v>
      </x:c>
      <x:c r="I685" s="6" t="n">
        <x:v>13.2</x:v>
      </x:c>
      <x:c r="J685" s="6" t="n">
        <x:v>13.2</x:v>
      </x:c>
      <x:c r="K685" s="5" t="str">
        <x:v>Точная цена в редакторе</x:v>
      </x:c>
      <x:c r="L685" s="5" t="str">
        <x:v>запуск (2 трека)</x:v>
      </x:c>
      <x:c r="M685" s="7" t="n">
        <x:f>IF(J685="","",ROUND(J685*Tariffs!$D$5,2))</x:f>
        <x:v>10.98</x:v>
      </x:c>
      <x:c r="N685" s="7" t="n">
        <x:f>IF(J685="","",ROUND(J685*Tariffs!$D$6,2))</x:f>
        <x:v>10.99</x:v>
      </x:c>
      <x:c r="O685" s="7" t="n">
        <x:f>IF(J685="","",ROUND(J685*Tariffs!$D$7,2))</x:f>
        <x:v>11</x:v>
      </x:c>
      <x:c r="P685" s="5" t="str">
        <x:v>https://neuromia.ru/app/music</x:v>
      </x:c>
      <x:c r="Q685" s="8" t="n">
        <x:v>46282.375</x:v>
      </x:c>
      <x:c r="R685" s="5" t="str">
        <x:v>После загрузки и заполнения обязательных полей цена 13,20 кр. за 2 варианта.</x:v>
      </x:c>
    </x:row>
    <x:row r="686" ht="22" customHeight="1">
      <x:c r="A686" s="5" t="str">
        <x:v>Музыка</x:v>
      </x:c>
      <x:c r="B686" s="5" t="str">
        <x:v>Suno V6 Mini</x:v>
      </x:c>
      <x:c r="C686" s="5" t="str">
        <x:v>Добавить вокал</x:v>
      </x:c>
      <x:c r="D686" s="5" t="str">
        <x:v>—</x:v>
      </x:c>
      <x:c r="E686" s="5" t="str">
        <x:v>—</x:v>
      </x:c>
      <x:c r="F686" s="5" t="str">
        <x:v>6/12 с аудио</x:v>
      </x:c>
      <x:c r="G686" s="5" t="str">
        <x:v>—</x:v>
      </x:c>
      <x:c r="H686" s="5" t="str">
        <x:v>Синтетическое тестовое аудио и требуемый текст</x:v>
      </x:c>
      <x:c r="I686" s="6" t="n">
        <x:v>13.2</x:v>
      </x:c>
      <x:c r="J686" s="6" t="n">
        <x:v>13.2</x:v>
      </x:c>
      <x:c r="K686" s="5" t="str">
        <x:v>Точная цена в редакторе</x:v>
      </x:c>
      <x:c r="L686" s="5" t="str">
        <x:v>запуск (2 трека)</x:v>
      </x:c>
      <x:c r="M686" s="7" t="n">
        <x:f>IF(J686="","",ROUND(J686*Tariffs!$D$5,2))</x:f>
        <x:v>10.98</x:v>
      </x:c>
      <x:c r="N686" s="7" t="n">
        <x:f>IF(J686="","",ROUND(J686*Tariffs!$D$6,2))</x:f>
        <x:v>10.99</x:v>
      </x:c>
      <x:c r="O686" s="7" t="n">
        <x:f>IF(J686="","",ROUND(J686*Tariffs!$D$7,2))</x:f>
        <x:v>11</x:v>
      </x:c>
      <x:c r="P686" s="5" t="str">
        <x:v>https://neuromia.ru/app/music</x:v>
      </x:c>
      <x:c r="Q686" s="8" t="n">
        <x:v>46282.375</x:v>
      </x:c>
      <x:c r="R686" s="5" t="str">
        <x:v>После загрузки и заполнения обязательных полей цена 13,20 кр. за 2 варианта.</x:v>
      </x:c>
    </x:row>
    <x:row r="687" ht="22" customHeight="1">
      <x:c r="A687" s="5" t="str">
        <x:v>Музыка</x:v>
      </x:c>
      <x:c r="B687" s="5" t="str">
        <x:v>Suno V6 Mini</x:v>
      </x:c>
      <x:c r="C687" s="5" t="str">
        <x:v>Добавить музыку</x:v>
      </x:c>
      <x:c r="D687" s="5" t="str">
        <x:v>—</x:v>
      </x:c>
      <x:c r="E687" s="5" t="str">
        <x:v>—</x:v>
      </x:c>
      <x:c r="F687" s="5" t="str">
        <x:v>6/12 с аудио</x:v>
      </x:c>
      <x:c r="G687" s="5" t="str">
        <x:v>—</x:v>
      </x:c>
      <x:c r="H687" s="5" t="str">
        <x:v>Синтетическое тестовое аудио и требуемый текст</x:v>
      </x:c>
      <x:c r="I687" s="6" t="n">
        <x:v>13.2</x:v>
      </x:c>
      <x:c r="J687" s="6" t="n">
        <x:v>13.2</x:v>
      </x:c>
      <x:c r="K687" s="5" t="str">
        <x:v>Точная цена в редакторе</x:v>
      </x:c>
      <x:c r="L687" s="5" t="str">
        <x:v>запуск (2 трека)</x:v>
      </x:c>
      <x:c r="M687" s="7" t="n">
        <x:f>IF(J687="","",ROUND(J687*Tariffs!$D$5,2))</x:f>
        <x:v>10.98</x:v>
      </x:c>
      <x:c r="N687" s="7" t="n">
        <x:f>IF(J687="","",ROUND(J687*Tariffs!$D$6,2))</x:f>
        <x:v>10.99</x:v>
      </x:c>
      <x:c r="O687" s="7" t="n">
        <x:f>IF(J687="","",ROUND(J687*Tariffs!$D$7,2))</x:f>
        <x:v>11</x:v>
      </x:c>
      <x:c r="P687" s="5" t="str">
        <x:v>https://neuromia.ru/app/music</x:v>
      </x:c>
      <x:c r="Q687" s="8" t="n">
        <x:v>46282.375</x:v>
      </x:c>
      <x:c r="R687" s="5" t="str">
        <x:v>После загрузки и заполнения обязательных полей цена 13,20 кр. за 2 варианта.</x:v>
      </x:c>
    </x:row>
    <x:row r="688" ht="22" customHeight="1">
      <x:c r="A688" s="5" t="str">
        <x:v>Музыка</x:v>
      </x:c>
      <x:c r="B688" s="5" t="str">
        <x:v>Suno V6 Mini</x:v>
      </x:c>
      <x:c r="C688" s="5" t="str">
        <x:v>Микс</x:v>
      </x:c>
      <x:c r="D688" s="5" t="str">
        <x:v>—</x:v>
      </x:c>
      <x:c r="E688" s="5" t="str">
        <x:v>—</x:v>
      </x:c>
      <x:c r="F688" s="5" t="str">
        <x:v>6/12 с аудио</x:v>
      </x:c>
      <x:c r="G688" s="5" t="str">
        <x:v>—</x:v>
      </x:c>
      <x:c r="H688" s="5" t="str">
        <x:v>Два синтетических тестовых аудио</x:v>
      </x:c>
      <x:c r="I688" s="6" t="n">
        <x:v>13.2</x:v>
      </x:c>
      <x:c r="J688" s="6" t="n">
        <x:v>13.2</x:v>
      </x:c>
      <x:c r="K688" s="5" t="str">
        <x:v>Точная цена в редакторе</x:v>
      </x:c>
      <x:c r="L688" s="5" t="str">
        <x:v>запуск (2 трека)</x:v>
      </x:c>
      <x:c r="M688" s="7" t="n">
        <x:f>IF(J688="","",ROUND(J688*Tariffs!$D$5,2))</x:f>
        <x:v>10.98</x:v>
      </x:c>
      <x:c r="N688" s="7" t="n">
        <x:f>IF(J688="","",ROUND(J688*Tariffs!$D$6,2))</x:f>
        <x:v>10.99</x:v>
      </x:c>
      <x:c r="O688" s="7" t="n">
        <x:f>IF(J688="","",ROUND(J688*Tariffs!$D$7,2))</x:f>
        <x:v>11</x:v>
      </x:c>
      <x:c r="P688" s="5" t="str">
        <x:v>https://neuromia.ru/app/music</x:v>
      </x:c>
      <x:c r="Q688" s="8" t="n">
        <x:v>46282.375</x:v>
      </x:c>
      <x:c r="R688" s="5" t="str">
        <x:v>После загрузки и заполнения обязательных полей цена 13,20 кр. за 2 варианта.</x:v>
      </x:c>
    </x:row>
    <x:row r="689" ht="22" customHeight="1">
      <x:c r="A689" s="5" t="str">
        <x:v>Озвучка</x:v>
      </x:c>
      <x:c r="B689" s="5" t="str">
        <x:v>Gemini 3.1 Flash TTS</x:v>
      </x:c>
      <x:c r="C689" s="5" t="str">
        <x:v>Текст → речь</x:v>
      </x:c>
      <x:c r="D689" s="5" t="str">
        <x:v>—</x:v>
      </x:c>
      <x:c r="E689" s="5" t="str">
        <x:v>—</x:v>
      </x:c>
      <x:c r="F689" s="5" t="str">
        <x:v>зависит от записи</x:v>
      </x:c>
      <x:c r="G689" s="5" t="str">
        <x:v>—</x:v>
      </x:c>
      <x:c r="H689" s="5" t="str">
        <x:v>48 символов тестового текста</x:v>
      </x:c>
      <x:c r="I689" s="6" t="n">
        <x:v>0.72</x:v>
      </x:c>
      <x:c r="J689" s="6"/>
      <x:c r="K689" s="5" t="str">
        <x:v>Только резерв</x:v>
      </x:c>
      <x:c r="L689" s="5" t="str">
        <x:v>минута/запись</x:v>
      </x:c>
      <x:c r="M689" s="7" t="str">
        <x:f>IF(J689="","",ROUND(J689*Tariffs!$D$5,2))</x:f>
      </x:c>
      <x:c r="N689" s="7" t="str">
        <x:f>IF(J689="","",ROUND(J689*Tariffs!$D$6,2))</x:f>
      </x:c>
      <x:c r="O689" s="7" t="str">
        <x:f>IF(J689="","",ROUND(J689*Tariffs!$D$7,2))</x:f>
      </x:c>
      <x:c r="P689" s="5" t="str">
        <x:v>https://neuromia.ru/app/audio</x:v>
      </x:c>
      <x:c r="Q689" s="8" t="n">
        <x:v>46282.375</x:v>
      </x:c>
      <x:c r="R689" s="5" t="str">
        <x:v>Редактор показал «резерв до 0,72», обещает вернуть разницу. 9,24 кр/мин — приблизительная ставка, не итог.</x:v>
      </x:c>
    </x:row>
    <x:row r="690" ht="22" customHeight="1">
      <x:c r="A690" s="5" t="str">
        <x:v>Озвучка</x:v>
      </x:c>
      <x:c r="B690" s="5" t="str">
        <x:v>Gemini 3.1 Flash TTS</x:v>
      </x:c>
      <x:c r="C690" s="5" t="str">
        <x:v>Текст → речь</x:v>
      </x:c>
      <x:c r="D690" s="5" t="str">
        <x:v>—</x:v>
      </x:c>
      <x:c r="E690" s="5" t="str">
        <x:v>—</x:v>
      </x:c>
      <x:c r="F690" s="5" t="str">
        <x:v>зависит от записи</x:v>
      </x:c>
      <x:c r="G690" s="5" t="str">
        <x:v>—</x:v>
      </x:c>
      <x:c r="H690" s="5" t="str">
        <x:v>Темп: Естественный; 48 символов</x:v>
      </x:c>
      <x:c r="I690" s="6" t="n">
        <x:v>0.72</x:v>
      </x:c>
      <x:c r="J690" s="6"/>
      <x:c r="K690" s="5" t="str">
        <x:v>Только резерв</x:v>
      </x:c>
      <x:c r="L690" s="5" t="str">
        <x:v>минута/запись</x:v>
      </x:c>
      <x:c r="M690" s="7" t="str">
        <x:f>IF(J690="","",ROUND(J690*Tariffs!$D$5,2))</x:f>
      </x:c>
      <x:c r="N690" s="7" t="str">
        <x:f>IF(J690="","",ROUND(J690*Tariffs!$D$6,2))</x:f>
      </x:c>
      <x:c r="O690" s="7" t="str">
        <x:f>IF(J690="","",ROUND(J690*Tariffs!$D$7,2))</x:f>
      </x:c>
      <x:c r="P690" s="5" t="str">
        <x:v>https://neuromia.ru/app/audio</x:v>
      </x:c>
      <x:c r="Q690" s="8" t="n">
        <x:v>46282.375</x:v>
      </x:c>
      <x:c r="R690" s="5" t="str">
        <x:v>Темп не менял резерв; точный расход узнаётся после записи.</x:v>
      </x:c>
    </x:row>
    <x:row r="691" ht="22" customHeight="1">
      <x:c r="A691" s="5" t="str">
        <x:v>Озвучка</x:v>
      </x:c>
      <x:c r="B691" s="5" t="str">
        <x:v>Gemini 3.1 Flash TTS</x:v>
      </x:c>
      <x:c r="C691" s="5" t="str">
        <x:v>Текст → речь</x:v>
      </x:c>
      <x:c r="D691" s="5" t="str">
        <x:v>—</x:v>
      </x:c>
      <x:c r="E691" s="5" t="str">
        <x:v>—</x:v>
      </x:c>
      <x:c r="F691" s="5" t="str">
        <x:v>зависит от записи</x:v>
      </x:c>
      <x:c r="G691" s="5" t="str">
        <x:v>—</x:v>
      </x:c>
      <x:c r="H691" s="5" t="str">
        <x:v>Темп: Быстрый; 48 символов</x:v>
      </x:c>
      <x:c r="I691" s="6" t="n">
        <x:v>0.72</x:v>
      </x:c>
      <x:c r="J691" s="6"/>
      <x:c r="K691" s="5" t="str">
        <x:v>Только резерв</x:v>
      </x:c>
      <x:c r="L691" s="5" t="str">
        <x:v>минута/запись</x:v>
      </x:c>
      <x:c r="M691" s="7" t="str">
        <x:f>IF(J691="","",ROUND(J691*Tariffs!$D$5,2))</x:f>
      </x:c>
      <x:c r="N691" s="7" t="str">
        <x:f>IF(J691="","",ROUND(J691*Tariffs!$D$6,2))</x:f>
      </x:c>
      <x:c r="O691" s="7" t="str">
        <x:f>IF(J691="","",ROUND(J691*Tariffs!$D$7,2))</x:f>
      </x:c>
      <x:c r="P691" s="5" t="str">
        <x:v>https://neuromia.ru/app/audio</x:v>
      </x:c>
      <x:c r="Q691" s="8" t="n">
        <x:v>46282.375</x:v>
      </x:c>
      <x:c r="R691" s="5" t="str">
        <x:v>Темп не менял резерв; точный расход узнаётся после записи.</x:v>
      </x:c>
    </x:row>
    <x:row r="692" ht="22" customHeight="1">
      <x:c r="A692" s="5" t="str">
        <x:v>Озвучка</x:v>
      </x:c>
      <x:c r="B692" s="5" t="str">
        <x:v>Gemini 3.1 Flash TTS</x:v>
      </x:c>
      <x:c r="C692" s="5" t="str">
        <x:v>Текст → речь</x:v>
      </x:c>
      <x:c r="D692" s="5" t="str">
        <x:v>—</x:v>
      </x:c>
      <x:c r="E692" s="5" t="str">
        <x:v>—</x:v>
      </x:c>
      <x:c r="F692" s="5" t="str">
        <x:v>зависит от записи</x:v>
      </x:c>
      <x:c r="G692" s="5" t="str">
        <x:v>—</x:v>
      </x:c>
      <x:c r="H692" s="5" t="str">
        <x:v>Темп: Медленный; 48 символов</x:v>
      </x:c>
      <x:c r="I692" s="6" t="n">
        <x:v>0.72</x:v>
      </x:c>
      <x:c r="J692" s="6"/>
      <x:c r="K692" s="5" t="str">
        <x:v>Только резерв</x:v>
      </x:c>
      <x:c r="L692" s="5" t="str">
        <x:v>минута/запись</x:v>
      </x:c>
      <x:c r="M692" s="7" t="str">
        <x:f>IF(J692="","",ROUND(J692*Tariffs!$D$5,2))</x:f>
      </x:c>
      <x:c r="N692" s="7" t="str">
        <x:f>IF(J692="","",ROUND(J692*Tariffs!$D$6,2))</x:f>
      </x:c>
      <x:c r="O692" s="7" t="str">
        <x:f>IF(J692="","",ROUND(J692*Tariffs!$D$7,2))</x:f>
      </x:c>
      <x:c r="P692" s="5" t="str">
        <x:v>https://neuromia.ru/app/audio</x:v>
      </x:c>
      <x:c r="Q692" s="8" t="n">
        <x:v>46282.375</x:v>
      </x:c>
      <x:c r="R692" s="5" t="str">
        <x:v>Темп не менял резерв; точный расход узнаётся после записи.</x:v>
      </x:c>
    </x:row>
    <x:row r="693" ht="22" customHeight="1">
      <x:c r="A693" s="5" t="str">
        <x:v>Озвучка</x:v>
      </x:c>
      <x:c r="B693" s="5" t="str">
        <x:v>Gemini 3.1 Flash TTS</x:v>
      </x:c>
      <x:c r="C693" s="5" t="str">
        <x:v>Текст → речь</x:v>
      </x:c>
      <x:c r="D693" s="5" t="str">
        <x:v>—</x:v>
      </x:c>
      <x:c r="E693" s="5" t="str">
        <x:v>—</x:v>
      </x:c>
      <x:c r="F693" s="5" t="str">
        <x:v>зависит от записи</x:v>
      </x:c>
      <x:c r="G693" s="5" t="str">
        <x:v>—</x:v>
      </x:c>
      <x:c r="H693" s="5" t="str">
        <x:v>Темп: Отрывистый; 48 символов</x:v>
      </x:c>
      <x:c r="I693" s="6" t="n">
        <x:v>0.72</x:v>
      </x:c>
      <x:c r="J693" s="6"/>
      <x:c r="K693" s="5" t="str">
        <x:v>Только резерв</x:v>
      </x:c>
      <x:c r="L693" s="5" t="str">
        <x:v>минута/запись</x:v>
      </x:c>
      <x:c r="M693" s="7" t="str">
        <x:f>IF(J693="","",ROUND(J693*Tariffs!$D$5,2))</x:f>
      </x:c>
      <x:c r="N693" s="7" t="str">
        <x:f>IF(J693="","",ROUND(J693*Tariffs!$D$6,2))</x:f>
      </x:c>
      <x:c r="O693" s="7" t="str">
        <x:f>IF(J693="","",ROUND(J693*Tariffs!$D$7,2))</x:f>
      </x:c>
      <x:c r="P693" s="5" t="str">
        <x:v>https://neuromia.ru/app/audio</x:v>
      </x:c>
      <x:c r="Q693" s="8" t="n">
        <x:v>46282.375</x:v>
      </x:c>
      <x:c r="R693" s="5" t="str">
        <x:v>Темп не менял резерв; точный расход узнаётся после записи.</x:v>
      </x:c>
    </x:row>
    <x:row r="694" ht="22" customHeight="1">
      <x:c r="A694" s="5" t="str">
        <x:v>Чат</x:v>
      </x:c>
      <x:c r="B694" s="5" t="str">
        <x:v>Mia</x:v>
      </x:c>
      <x:c r="C694" s="5" t="str">
        <x:v>Текст → текст</x:v>
      </x:c>
      <x:c r="D694" s="5" t="str">
        <x:v>—</x:v>
      </x:c>
      <x:c r="E694" s="5" t="str">
        <x:v>—</x:v>
      </x:c>
      <x:c r="F694" s="5" t="str">
        <x:v>входные и выходные токены</x:v>
      </x:c>
      <x:c r="G694" s="5" t="str">
        <x:v>—</x:v>
      </x:c>
      <x:c r="H694" s="5" t="str">
        <x:v>Без отправки сообщения</x:v>
      </x:c>
      <x:c r="I694" s="6"/>
      <x:c r="J694" s="6"/>
      <x:c r="K694" s="5" t="str">
        <x:v>После генерации</x:v>
      </x:c>
      <x:c r="L694" s="5" t="str">
        <x:v>сообщение</x:v>
      </x:c>
      <x:c r="M694" s="7" t="str">
        <x:f>IF(J694="","",ROUND(J694*Tariffs!$D$5,2))</x:f>
      </x:c>
      <x:c r="N694" s="7" t="str">
        <x:f>IF(J694="","",ROUND(J694*Tariffs!$D$6,2))</x:f>
      </x:c>
      <x:c r="O694" s="7" t="str">
        <x:f>IF(J694="","",ROUND(J694*Tariffs!$D$7,2))</x:f>
      </x:c>
      <x:c r="P694" s="5" t="str">
        <x:v>https://neuromia.ru/app/chat/models</x:v>
      </x:c>
      <x:c r="Q694" s="8" t="n">
        <x:v>46282.375</x:v>
      </x:c>
      <x:c r="R694" s="5" t="str">
        <x:v>Каталог показывает только «от», редактор не даёт итог до отправки. Тестовый промпт без отправки цену не вывел.</x:v>
      </x:c>
    </x:row>
    <x:row r="695" ht="22" customHeight="1">
      <x:c r="A695" s="5" t="str">
        <x:v>Чат</x:v>
      </x:c>
      <x:c r="B695" s="5" t="str">
        <x:v>GPT-6 Astra</x:v>
      </x:c>
      <x:c r="C695" s="5" t="str">
        <x:v>Текст → текст</x:v>
      </x:c>
      <x:c r="D695" s="5" t="str">
        <x:v>—</x:v>
      </x:c>
      <x:c r="E695" s="5" t="str">
        <x:v>—</x:v>
      </x:c>
      <x:c r="F695" s="5" t="str">
        <x:v>входные и выходные токены</x:v>
      </x:c>
      <x:c r="G695" s="5" t="str">
        <x:v>—</x:v>
      </x:c>
      <x:c r="H695" s="5" t="str">
        <x:v>Без отправки сообщения</x:v>
      </x:c>
      <x:c r="I695" s="6"/>
      <x:c r="J695" s="6"/>
      <x:c r="K695" s="5" t="str">
        <x:v>После генерации</x:v>
      </x:c>
      <x:c r="L695" s="5" t="str">
        <x:v>сообщение</x:v>
      </x:c>
      <x:c r="M695" s="7" t="str">
        <x:f>IF(J695="","",ROUND(J695*Tariffs!$D$5,2))</x:f>
      </x:c>
      <x:c r="N695" s="7" t="str">
        <x:f>IF(J695="","",ROUND(J695*Tariffs!$D$6,2))</x:f>
      </x:c>
      <x:c r="O695" s="7" t="str">
        <x:f>IF(J695="","",ROUND(J695*Tariffs!$D$7,2))</x:f>
      </x:c>
      <x:c r="P695" s="5" t="str">
        <x:v>https://neuromia.ru/app/chat/models</x:v>
      </x:c>
      <x:c r="Q695" s="8" t="n">
        <x:v>46282.375</x:v>
      </x:c>
      <x:c r="R695" s="5" t="str">
        <x:v>Каталог показывает только «от», редактор не даёт итог до отправки. Тестовый промпт без отправки цену не вывел.</x:v>
      </x:c>
    </x:row>
    <x:row r="696" ht="22" customHeight="1">
      <x:c r="A696" s="5" t="str">
        <x:v>Чат</x:v>
      </x:c>
      <x:c r="B696" s="5" t="str">
        <x:v>GPT-5.6 Luna</x:v>
      </x:c>
      <x:c r="C696" s="5" t="str">
        <x:v>Текст → текст</x:v>
      </x:c>
      <x:c r="D696" s="5" t="str">
        <x:v>—</x:v>
      </x:c>
      <x:c r="E696" s="5" t="str">
        <x:v>—</x:v>
      </x:c>
      <x:c r="F696" s="5" t="str">
        <x:v>входные и выходные токены</x:v>
      </x:c>
      <x:c r="G696" s="5" t="str">
        <x:v>—</x:v>
      </x:c>
      <x:c r="H696" s="5" t="str">
        <x:v>Без отправки сообщения</x:v>
      </x:c>
      <x:c r="I696" s="6"/>
      <x:c r="J696" s="6"/>
      <x:c r="K696" s="5" t="str">
        <x:v>После генерации</x:v>
      </x:c>
      <x:c r="L696" s="5" t="str">
        <x:v>сообщение</x:v>
      </x:c>
      <x:c r="M696" s="7" t="str">
        <x:f>IF(J696="","",ROUND(J696*Tariffs!$D$5,2))</x:f>
      </x:c>
      <x:c r="N696" s="7" t="str">
        <x:f>IF(J696="","",ROUND(J696*Tariffs!$D$6,2))</x:f>
      </x:c>
      <x:c r="O696" s="7" t="str">
        <x:f>IF(J696="","",ROUND(J696*Tariffs!$D$7,2))</x:f>
      </x:c>
      <x:c r="P696" s="5" t="str">
        <x:v>https://neuromia.ru/app/chat/models</x:v>
      </x:c>
      <x:c r="Q696" s="8" t="n">
        <x:v>46282.375</x:v>
      </x:c>
      <x:c r="R696" s="5" t="str">
        <x:v>Каталог показывает только «от», редактор не даёт итог до отправки. Тестовый промпт без отправки цену не вывел.</x:v>
      </x:c>
    </x:row>
    <x:row r="697" ht="22" customHeight="1">
      <x:c r="A697" s="5" t="str">
        <x:v>Чат</x:v>
      </x:c>
      <x:c r="B697" s="5" t="str">
        <x:v>GPT-5.6 Terra</x:v>
      </x:c>
      <x:c r="C697" s="5" t="str">
        <x:v>Текст → текст</x:v>
      </x:c>
      <x:c r="D697" s="5" t="str">
        <x:v>—</x:v>
      </x:c>
      <x:c r="E697" s="5" t="str">
        <x:v>—</x:v>
      </x:c>
      <x:c r="F697" s="5" t="str">
        <x:v>входные и выходные токены</x:v>
      </x:c>
      <x:c r="G697" s="5" t="str">
        <x:v>—</x:v>
      </x:c>
      <x:c r="H697" s="5" t="str">
        <x:v>Без отправки сообщения</x:v>
      </x:c>
      <x:c r="I697" s="6"/>
      <x:c r="J697" s="6"/>
      <x:c r="K697" s="5" t="str">
        <x:v>После генерации</x:v>
      </x:c>
      <x:c r="L697" s="5" t="str">
        <x:v>сообщение</x:v>
      </x:c>
      <x:c r="M697" s="7" t="str">
        <x:f>IF(J697="","",ROUND(J697*Tariffs!$D$5,2))</x:f>
      </x:c>
      <x:c r="N697" s="7" t="str">
        <x:f>IF(J697="","",ROUND(J697*Tariffs!$D$6,2))</x:f>
      </x:c>
      <x:c r="O697" s="7" t="str">
        <x:f>IF(J697="","",ROUND(J697*Tariffs!$D$7,2))</x:f>
      </x:c>
      <x:c r="P697" s="5" t="str">
        <x:v>https://neuromia.ru/app/chat/models</x:v>
      </x:c>
      <x:c r="Q697" s="8" t="n">
        <x:v>46282.375</x:v>
      </x:c>
      <x:c r="R697" s="5" t="str">
        <x:v>Каталог показывает только «от», редактор не даёт итог до отправки. Тестовый промпт без отправки цену не вывел.</x:v>
      </x:c>
    </x:row>
    <x:row r="698" ht="22" customHeight="1">
      <x:c r="A698" s="5" t="str">
        <x:v>Чат</x:v>
      </x:c>
      <x:c r="B698" s="5" t="str">
        <x:v>Gemini 3.1 Pro</x:v>
      </x:c>
      <x:c r="C698" s="5" t="str">
        <x:v>Текст → текст</x:v>
      </x:c>
      <x:c r="D698" s="5" t="str">
        <x:v>—</x:v>
      </x:c>
      <x:c r="E698" s="5" t="str">
        <x:v>—</x:v>
      </x:c>
      <x:c r="F698" s="5" t="str">
        <x:v>входные и выходные токены</x:v>
      </x:c>
      <x:c r="G698" s="5" t="str">
        <x:v>—</x:v>
      </x:c>
      <x:c r="H698" s="5" t="str">
        <x:v>Без отправки сообщения</x:v>
      </x:c>
      <x:c r="I698" s="6"/>
      <x:c r="J698" s="6"/>
      <x:c r="K698" s="5" t="str">
        <x:v>После генерации</x:v>
      </x:c>
      <x:c r="L698" s="5" t="str">
        <x:v>сообщение</x:v>
      </x:c>
      <x:c r="M698" s="7" t="str">
        <x:f>IF(J698="","",ROUND(J698*Tariffs!$D$5,2))</x:f>
      </x:c>
      <x:c r="N698" s="7" t="str">
        <x:f>IF(J698="","",ROUND(J698*Tariffs!$D$6,2))</x:f>
      </x:c>
      <x:c r="O698" s="7" t="str">
        <x:f>IF(J698="","",ROUND(J698*Tariffs!$D$7,2))</x:f>
      </x:c>
      <x:c r="P698" s="5" t="str">
        <x:v>https://neuromia.ru/app/chat/models</x:v>
      </x:c>
      <x:c r="Q698" s="8" t="n">
        <x:v>46282.375</x:v>
      </x:c>
      <x:c r="R698" s="5" t="str">
        <x:v>Каталог показывает только «от», редактор не даёт итог до отправки. Тестовый промпт без отправки цену не вывел.</x:v>
      </x:c>
    </x:row>
    <x:row r="699" ht="22" customHeight="1">
      <x:c r="A699" s="5" t="str">
        <x:v>Чат</x:v>
      </x:c>
      <x:c r="B699" s="5" t="str">
        <x:v>Gemini 3 Pro</x:v>
      </x:c>
      <x:c r="C699" s="5" t="str">
        <x:v>Текст → текст</x:v>
      </x:c>
      <x:c r="D699" s="5" t="str">
        <x:v>—</x:v>
      </x:c>
      <x:c r="E699" s="5" t="str">
        <x:v>—</x:v>
      </x:c>
      <x:c r="F699" s="5" t="str">
        <x:v>входные и выходные токены</x:v>
      </x:c>
      <x:c r="G699" s="5" t="str">
        <x:v>—</x:v>
      </x:c>
      <x:c r="H699" s="5" t="str">
        <x:v>Без отправки сообщения</x:v>
      </x:c>
      <x:c r="I699" s="6"/>
      <x:c r="J699" s="6"/>
      <x:c r="K699" s="5" t="str">
        <x:v>После генерации</x:v>
      </x:c>
      <x:c r="L699" s="5" t="str">
        <x:v>сообщение</x:v>
      </x:c>
      <x:c r="M699" s="7" t="str">
        <x:f>IF(J699="","",ROUND(J699*Tariffs!$D$5,2))</x:f>
      </x:c>
      <x:c r="N699" s="7" t="str">
        <x:f>IF(J699="","",ROUND(J699*Tariffs!$D$6,2))</x:f>
      </x:c>
      <x:c r="O699" s="7" t="str">
        <x:f>IF(J699="","",ROUND(J699*Tariffs!$D$7,2))</x:f>
      </x:c>
      <x:c r="P699" s="5" t="str">
        <x:v>https://neuromia.ru/app/chat/models</x:v>
      </x:c>
      <x:c r="Q699" s="8" t="n">
        <x:v>46282.375</x:v>
      </x:c>
      <x:c r="R699" s="5" t="str">
        <x:v>Каталог показывает только «от», редактор не даёт итог до отправки. Тестовый промпт без отправки цену не вывел.</x:v>
      </x:c>
    </x:row>
    <x:row r="700" ht="22" customHeight="1">
      <x:c r="A700" s="5" t="str">
        <x:v>Чат</x:v>
      </x:c>
      <x:c r="B700" s="5" t="str">
        <x:v>GPT-5.6 Sol</x:v>
      </x:c>
      <x:c r="C700" s="5" t="str">
        <x:v>Текст → текст</x:v>
      </x:c>
      <x:c r="D700" s="5" t="str">
        <x:v>—</x:v>
      </x:c>
      <x:c r="E700" s="5" t="str">
        <x:v>—</x:v>
      </x:c>
      <x:c r="F700" s="5" t="str">
        <x:v>входные и выходные токены</x:v>
      </x:c>
      <x:c r="G700" s="5" t="str">
        <x:v>—</x:v>
      </x:c>
      <x:c r="H700" s="5" t="str">
        <x:v>Без отправки сообщения</x:v>
      </x:c>
      <x:c r="I700" s="6"/>
      <x:c r="J700" s="6"/>
      <x:c r="K700" s="5" t="str">
        <x:v>После генерации</x:v>
      </x:c>
      <x:c r="L700" s="5" t="str">
        <x:v>сообщение</x:v>
      </x:c>
      <x:c r="M700" s="7" t="str">
        <x:f>IF(J700="","",ROUND(J700*Tariffs!$D$5,2))</x:f>
      </x:c>
      <x:c r="N700" s="7" t="str">
        <x:f>IF(J700="","",ROUND(J700*Tariffs!$D$6,2))</x:f>
      </x:c>
      <x:c r="O700" s="7" t="str">
        <x:f>IF(J700="","",ROUND(J700*Tariffs!$D$7,2))</x:f>
      </x:c>
      <x:c r="P700" s="5" t="str">
        <x:v>https://neuromia.ru/app/chat/models</x:v>
      </x:c>
      <x:c r="Q700" s="8" t="n">
        <x:v>46282.375</x:v>
      </x:c>
      <x:c r="R700" s="5" t="str">
        <x:v>Каталог показывает только «от», редактор не даёт итог до отправки. Тестовый промпт без отправки цену не вывел.</x:v>
      </x:c>
    </x:row>
    <x:row r="701" ht="22" customHeight="1">
      <x:c r="A701" s="5" t="str">
        <x:v>Чат</x:v>
      </x:c>
      <x:c r="B701" s="5" t="str">
        <x:v>Gemini 3 Flash</x:v>
      </x:c>
      <x:c r="C701" s="5" t="str">
        <x:v>Текст → текст</x:v>
      </x:c>
      <x:c r="D701" s="5" t="str">
        <x:v>—</x:v>
      </x:c>
      <x:c r="E701" s="5" t="str">
        <x:v>—</x:v>
      </x:c>
      <x:c r="F701" s="5" t="str">
        <x:v>входные и выходные токены</x:v>
      </x:c>
      <x:c r="G701" s="5" t="str">
        <x:v>—</x:v>
      </x:c>
      <x:c r="H701" s="5" t="str">
        <x:v>Без отправки сообщения</x:v>
      </x:c>
      <x:c r="I701" s="6"/>
      <x:c r="J701" s="6"/>
      <x:c r="K701" s="5" t="str">
        <x:v>После генерации</x:v>
      </x:c>
      <x:c r="L701" s="5" t="str">
        <x:v>сообщение</x:v>
      </x:c>
      <x:c r="M701" s="7" t="str">
        <x:f>IF(J701="","",ROUND(J701*Tariffs!$D$5,2))</x:f>
      </x:c>
      <x:c r="N701" s="7" t="str">
        <x:f>IF(J701="","",ROUND(J701*Tariffs!$D$6,2))</x:f>
      </x:c>
      <x:c r="O701" s="7" t="str">
        <x:f>IF(J701="","",ROUND(J701*Tariffs!$D$7,2))</x:f>
      </x:c>
      <x:c r="P701" s="5" t="str">
        <x:v>https://neuromia.ru/app/chat/models</x:v>
      </x:c>
      <x:c r="Q701" s="8" t="n">
        <x:v>46282.375</x:v>
      </x:c>
      <x:c r="R701" s="5" t="str">
        <x:v>Каталог показывает только «от», редактор не даёт итог до отправки. Тестовый промпт без отправки цену не вывел.</x:v>
      </x:c>
    </x:row>
    <x:row r="702" ht="22" customHeight="1">
      <x:c r="A702" s="5" t="str">
        <x:v>Чат</x:v>
      </x:c>
      <x:c r="B702" s="5" t="str">
        <x:v>GPT-5.5</x:v>
      </x:c>
      <x:c r="C702" s="5" t="str">
        <x:v>Текст → текст</x:v>
      </x:c>
      <x:c r="D702" s="5" t="str">
        <x:v>—</x:v>
      </x:c>
      <x:c r="E702" s="5" t="str">
        <x:v>—</x:v>
      </x:c>
      <x:c r="F702" s="5" t="str">
        <x:v>входные и выходные токены</x:v>
      </x:c>
      <x:c r="G702" s="5" t="str">
        <x:v>—</x:v>
      </x:c>
      <x:c r="H702" s="5" t="str">
        <x:v>Без отправки сообщения</x:v>
      </x:c>
      <x:c r="I702" s="6"/>
      <x:c r="J702" s="6"/>
      <x:c r="K702" s="5" t="str">
        <x:v>После генерации</x:v>
      </x:c>
      <x:c r="L702" s="5" t="str">
        <x:v>сообщение</x:v>
      </x:c>
      <x:c r="M702" s="7" t="str">
        <x:f>IF(J702="","",ROUND(J702*Tariffs!$D$5,2))</x:f>
      </x:c>
      <x:c r="N702" s="7" t="str">
        <x:f>IF(J702="","",ROUND(J702*Tariffs!$D$6,2))</x:f>
      </x:c>
      <x:c r="O702" s="7" t="str">
        <x:f>IF(J702="","",ROUND(J702*Tariffs!$D$7,2))</x:f>
      </x:c>
      <x:c r="P702" s="5" t="str">
        <x:v>https://neuromia.ru/app/chat/models</x:v>
      </x:c>
      <x:c r="Q702" s="8" t="n">
        <x:v>46282.375</x:v>
      </x:c>
      <x:c r="R702" s="5" t="str">
        <x:v>Каталог показывает только «от», редактор не даёт итог до отправки. Тестовый промпт без отправки цену не вывел.</x:v>
      </x:c>
    </x:row>
    <x:row r="703" ht="22" customHeight="1">
      <x:c r="A703" s="5" t="str">
        <x:v>Чат</x:v>
      </x:c>
      <x:c r="B703" s="5" t="str">
        <x:v>GPT-5.4</x:v>
      </x:c>
      <x:c r="C703" s="5" t="str">
        <x:v>Текст → текст</x:v>
      </x:c>
      <x:c r="D703" s="5" t="str">
        <x:v>—</x:v>
      </x:c>
      <x:c r="E703" s="5" t="str">
        <x:v>—</x:v>
      </x:c>
      <x:c r="F703" s="5" t="str">
        <x:v>входные и выходные токены</x:v>
      </x:c>
      <x:c r="G703" s="5" t="str">
        <x:v>—</x:v>
      </x:c>
      <x:c r="H703" s="5" t="str">
        <x:v>Без отправки сообщения</x:v>
      </x:c>
      <x:c r="I703" s="6"/>
      <x:c r="J703" s="6"/>
      <x:c r="K703" s="5" t="str">
        <x:v>После генерации</x:v>
      </x:c>
      <x:c r="L703" s="5" t="str">
        <x:v>сообщение</x:v>
      </x:c>
      <x:c r="M703" s="7" t="str">
        <x:f>IF(J703="","",ROUND(J703*Tariffs!$D$5,2))</x:f>
      </x:c>
      <x:c r="N703" s="7" t="str">
        <x:f>IF(J703="","",ROUND(J703*Tariffs!$D$6,2))</x:f>
      </x:c>
      <x:c r="O703" s="7" t="str">
        <x:f>IF(J703="","",ROUND(J703*Tariffs!$D$7,2))</x:f>
      </x:c>
      <x:c r="P703" s="5" t="str">
        <x:v>https://neuromia.ru/app/chat/models</x:v>
      </x:c>
      <x:c r="Q703" s="8" t="n">
        <x:v>46282.375</x:v>
      </x:c>
      <x:c r="R703" s="5" t="str">
        <x:v>Каталог показывает только «от», редактор не даёт итог до отправки. Тестовый промпт без отправки цену не вывел.</x:v>
      </x:c>
    </x:row>
    <x:row r="704" ht="22" customHeight="1">
      <x:c r="A704" s="5" t="str">
        <x:v>Чат</x:v>
      </x:c>
      <x:c r="B704" s="5" t="str">
        <x:v>GPT-5.2</x:v>
      </x:c>
      <x:c r="C704" s="5" t="str">
        <x:v>Текст → текст</x:v>
      </x:c>
      <x:c r="D704" s="5" t="str">
        <x:v>—</x:v>
      </x:c>
      <x:c r="E704" s="5" t="str">
        <x:v>—</x:v>
      </x:c>
      <x:c r="F704" s="5" t="str">
        <x:v>входные и выходные токены</x:v>
      </x:c>
      <x:c r="G704" s="5" t="str">
        <x:v>—</x:v>
      </x:c>
      <x:c r="H704" s="5" t="str">
        <x:v>Без отправки сообщения</x:v>
      </x:c>
      <x:c r="I704" s="6"/>
      <x:c r="J704" s="6"/>
      <x:c r="K704" s="5" t="str">
        <x:v>После генерации</x:v>
      </x:c>
      <x:c r="L704" s="5" t="str">
        <x:v>сообщение</x:v>
      </x:c>
      <x:c r="M704" s="7" t="str">
        <x:f>IF(J704="","",ROUND(J704*Tariffs!$D$5,2))</x:f>
      </x:c>
      <x:c r="N704" s="7" t="str">
        <x:f>IF(J704="","",ROUND(J704*Tariffs!$D$6,2))</x:f>
      </x:c>
      <x:c r="O704" s="7" t="str">
        <x:f>IF(J704="","",ROUND(J704*Tariffs!$D$7,2))</x:f>
      </x:c>
      <x:c r="P704" s="5" t="str">
        <x:v>https://neuromia.ru/app/chat/models</x:v>
      </x:c>
      <x:c r="Q704" s="8" t="n">
        <x:v>46282.375</x:v>
      </x:c>
      <x:c r="R704" s="5" t="str">
        <x:v>Каталог показывает только «от», редактор не даёт итог до отправки. Тестовый промпт без отправки цену не вывел.</x:v>
      </x:c>
    </x:row>
    <x:row r="705" ht="22" customHeight="1">
      <x:c r="A705" s="5" t="str">
        <x:v>Чат</x:v>
      </x:c>
      <x:c r="B705" s="5" t="str">
        <x:v>Claude Opus 4.7</x:v>
      </x:c>
      <x:c r="C705" s="5" t="str">
        <x:v>Текст → текст</x:v>
      </x:c>
      <x:c r="D705" s="5" t="str">
        <x:v>—</x:v>
      </x:c>
      <x:c r="E705" s="5" t="str">
        <x:v>—</x:v>
      </x:c>
      <x:c r="F705" s="5" t="str">
        <x:v>входные и выходные токены</x:v>
      </x:c>
      <x:c r="G705" s="5" t="str">
        <x:v>—</x:v>
      </x:c>
      <x:c r="H705" s="5" t="str">
        <x:v>Без отправки сообщения</x:v>
      </x:c>
      <x:c r="I705" s="6"/>
      <x:c r="J705" s="6"/>
      <x:c r="K705" s="5" t="str">
        <x:v>После генерации</x:v>
      </x:c>
      <x:c r="L705" s="5" t="str">
        <x:v>сообщение</x:v>
      </x:c>
      <x:c r="M705" s="7" t="str">
        <x:f>IF(J705="","",ROUND(J705*Tariffs!$D$5,2))</x:f>
      </x:c>
      <x:c r="N705" s="7" t="str">
        <x:f>IF(J705="","",ROUND(J705*Tariffs!$D$6,2))</x:f>
      </x:c>
      <x:c r="O705" s="7" t="str">
        <x:f>IF(J705="","",ROUND(J705*Tariffs!$D$7,2))</x:f>
      </x:c>
      <x:c r="P705" s="5" t="str">
        <x:v>https://neuromia.ru/app/chat/models</x:v>
      </x:c>
      <x:c r="Q705" s="8" t="n">
        <x:v>46282.375</x:v>
      </x:c>
      <x:c r="R705" s="5" t="str">
        <x:v>Каталог показывает только «от», редактор не даёт итог до отправки. Тестовый промпт без отправки цену не вывел.</x:v>
      </x:c>
    </x:row>
    <x:row r="706" ht="22" customHeight="1">
      <x:c r="A706" s="5" t="str">
        <x:v>Чат</x:v>
      </x:c>
      <x:c r="B706" s="5" t="str">
        <x:v>Claude Opus 4.6</x:v>
      </x:c>
      <x:c r="C706" s="5" t="str">
        <x:v>Текст → текст</x:v>
      </x:c>
      <x:c r="D706" s="5" t="str">
        <x:v>—</x:v>
      </x:c>
      <x:c r="E706" s="5" t="str">
        <x:v>—</x:v>
      </x:c>
      <x:c r="F706" s="5" t="str">
        <x:v>входные и выходные токены</x:v>
      </x:c>
      <x:c r="G706" s="5" t="str">
        <x:v>—</x:v>
      </x:c>
      <x:c r="H706" s="5" t="str">
        <x:v>Без отправки сообщения</x:v>
      </x:c>
      <x:c r="I706" s="6"/>
      <x:c r="J706" s="6"/>
      <x:c r="K706" s="5" t="str">
        <x:v>После генерации</x:v>
      </x:c>
      <x:c r="L706" s="5" t="str">
        <x:v>сообщение</x:v>
      </x:c>
      <x:c r="M706" s="7" t="str">
        <x:f>IF(J706="","",ROUND(J706*Tariffs!$D$5,2))</x:f>
      </x:c>
      <x:c r="N706" s="7" t="str">
        <x:f>IF(J706="","",ROUND(J706*Tariffs!$D$6,2))</x:f>
      </x:c>
      <x:c r="O706" s="7" t="str">
        <x:f>IF(J706="","",ROUND(J706*Tariffs!$D$7,2))</x:f>
      </x:c>
      <x:c r="P706" s="5" t="str">
        <x:v>https://neuromia.ru/app/chat/models</x:v>
      </x:c>
      <x:c r="Q706" s="8" t="n">
        <x:v>46282.375</x:v>
      </x:c>
      <x:c r="R706" s="5" t="str">
        <x:v>Каталог показывает только «от», редактор не даёт итог до отправки. Тестовый промпт без отправки цену не вывел.</x:v>
      </x:c>
    </x:row>
    <x:row r="707" ht="22" customHeight="1">
      <x:c r="A707" s="5" t="str">
        <x:v>Чат</x:v>
      </x:c>
      <x:c r="B707" s="5" t="str">
        <x:v>Claude Sonnet 4.6</x:v>
      </x:c>
      <x:c r="C707" s="5" t="str">
        <x:v>Текст → текст</x:v>
      </x:c>
      <x:c r="D707" s="5" t="str">
        <x:v>—</x:v>
      </x:c>
      <x:c r="E707" s="5" t="str">
        <x:v>—</x:v>
      </x:c>
      <x:c r="F707" s="5" t="str">
        <x:v>входные и выходные токены</x:v>
      </x:c>
      <x:c r="G707" s="5" t="str">
        <x:v>—</x:v>
      </x:c>
      <x:c r="H707" s="5" t="str">
        <x:v>Без отправки сообщения</x:v>
      </x:c>
      <x:c r="I707" s="6"/>
      <x:c r="J707" s="6"/>
      <x:c r="K707" s="5" t="str">
        <x:v>После генерации</x:v>
      </x:c>
      <x:c r="L707" s="5" t="str">
        <x:v>сообщение</x:v>
      </x:c>
      <x:c r="M707" s="7" t="str">
        <x:f>IF(J707="","",ROUND(J707*Tariffs!$D$5,2))</x:f>
      </x:c>
      <x:c r="N707" s="7" t="str">
        <x:f>IF(J707="","",ROUND(J707*Tariffs!$D$6,2))</x:f>
      </x:c>
      <x:c r="O707" s="7" t="str">
        <x:f>IF(J707="","",ROUND(J707*Tariffs!$D$7,2))</x:f>
      </x:c>
      <x:c r="P707" s="5" t="str">
        <x:v>https://neuromia.ru/app/chat/models</x:v>
      </x:c>
      <x:c r="Q707" s="8" t="n">
        <x:v>46282.375</x:v>
      </x:c>
      <x:c r="R707" s="5" t="str">
        <x:v>Каталог показывает только «от», редактор не даёт итог до отправки. Тестовый промпт без отправки цену не вывел.</x:v>
      </x:c>
    </x:row>
    <x:row r="708" ht="22" customHeight="1">
      <x:c r="A708" s="5" t="str">
        <x:v>Чат</x:v>
      </x:c>
      <x:c r="B708" s="5" t="str">
        <x:v>Claude Haiku 4.5</x:v>
      </x:c>
      <x:c r="C708" s="5" t="str">
        <x:v>Текст → текст</x:v>
      </x:c>
      <x:c r="D708" s="5" t="str">
        <x:v>—</x:v>
      </x:c>
      <x:c r="E708" s="5" t="str">
        <x:v>—</x:v>
      </x:c>
      <x:c r="F708" s="5" t="str">
        <x:v>входные и выходные токены</x:v>
      </x:c>
      <x:c r="G708" s="5" t="str">
        <x:v>—</x:v>
      </x:c>
      <x:c r="H708" s="5" t="str">
        <x:v>Без отправки сообщения</x:v>
      </x:c>
      <x:c r="I708" s="6"/>
      <x:c r="J708" s="6"/>
      <x:c r="K708" s="5" t="str">
        <x:v>После генерации</x:v>
      </x:c>
      <x:c r="L708" s="5" t="str">
        <x:v>сообщение</x:v>
      </x:c>
      <x:c r="M708" s="7" t="str">
        <x:f>IF(J708="","",ROUND(J708*Tariffs!$D$5,2))</x:f>
      </x:c>
      <x:c r="N708" s="7" t="str">
        <x:f>IF(J708="","",ROUND(J708*Tariffs!$D$6,2))</x:f>
      </x:c>
      <x:c r="O708" s="7" t="str">
        <x:f>IF(J708="","",ROUND(J708*Tariffs!$D$7,2))</x:f>
      </x:c>
      <x:c r="P708" s="5" t="str">
        <x:v>https://neuromia.ru/app/chat/models</x:v>
      </x:c>
      <x:c r="Q708" s="8" t="n">
        <x:v>46282.375</x:v>
      </x:c>
      <x:c r="R708" s="5" t="str">
        <x:v>Каталог показывает только «от», редактор не даёт итог до отправки. Тестовый промпт без отправки цену не вывел.</x:v>
      </x:c>
    </x:row>
    <x:row r="709" ht="22" customHeight="1">
      <x:c r="A709" s="5" t="str">
        <x:v>Чат</x:v>
      </x:c>
      <x:c r="B709" s="5" t="str">
        <x:v>Claude Sonnet 4.5</x:v>
      </x:c>
      <x:c r="C709" s="5" t="str">
        <x:v>Текст → текст</x:v>
      </x:c>
      <x:c r="D709" s="5" t="str">
        <x:v>—</x:v>
      </x:c>
      <x:c r="E709" s="5" t="str">
        <x:v>—</x:v>
      </x:c>
      <x:c r="F709" s="5" t="str">
        <x:v>входные и выходные токены</x:v>
      </x:c>
      <x:c r="G709" s="5" t="str">
        <x:v>—</x:v>
      </x:c>
      <x:c r="H709" s="5" t="str">
        <x:v>Без отправки сообщения</x:v>
      </x:c>
      <x:c r="I709" s="6"/>
      <x:c r="J709" s="6"/>
      <x:c r="K709" s="5" t="str">
        <x:v>После генерации</x:v>
      </x:c>
      <x:c r="L709" s="5" t="str">
        <x:v>сообщение</x:v>
      </x:c>
      <x:c r="M709" s="7" t="str">
        <x:f>IF(J709="","",ROUND(J709*Tariffs!$D$5,2))</x:f>
      </x:c>
      <x:c r="N709" s="7" t="str">
        <x:f>IF(J709="","",ROUND(J709*Tariffs!$D$6,2))</x:f>
      </x:c>
      <x:c r="O709" s="7" t="str">
        <x:f>IF(J709="","",ROUND(J709*Tariffs!$D$7,2))</x:f>
      </x:c>
      <x:c r="P709" s="5" t="str">
        <x:v>https://neuromia.ru/app/chat/models</x:v>
      </x:c>
      <x:c r="Q709" s="8" t="n">
        <x:v>46282.375</x:v>
      </x:c>
      <x:c r="R709" s="5" t="str">
        <x:v>Каталог показывает только «от», редактор не даёт итог до отправки. Тестовый промпт без отправки цену не вывел.</x:v>
      </x:c>
    </x:row>
    <x:row r="710" ht="22" customHeight="1">
      <x:c r="A710" s="5" t="str">
        <x:v>Чат</x:v>
      </x:c>
      <x:c r="B710" s="5" t="str">
        <x:v>Claude Opus 4.5</x:v>
      </x:c>
      <x:c r="C710" s="5" t="str">
        <x:v>Текст → текст</x:v>
      </x:c>
      <x:c r="D710" s="5" t="str">
        <x:v>—</x:v>
      </x:c>
      <x:c r="E710" s="5" t="str">
        <x:v>—</x:v>
      </x:c>
      <x:c r="F710" s="5" t="str">
        <x:v>входные и выходные токены</x:v>
      </x:c>
      <x:c r="G710" s="5" t="str">
        <x:v>—</x:v>
      </x:c>
      <x:c r="H710" s="5" t="str">
        <x:v>Без отправки сообщения</x:v>
      </x:c>
      <x:c r="I710" s="6"/>
      <x:c r="J710" s="6"/>
      <x:c r="K710" s="5" t="str">
        <x:v>После генерации</x:v>
      </x:c>
      <x:c r="L710" s="5" t="str">
        <x:v>сообщение</x:v>
      </x:c>
      <x:c r="M710" s="7" t="str">
        <x:f>IF(J710="","",ROUND(J710*Tariffs!$D$5,2))</x:f>
      </x:c>
      <x:c r="N710" s="7" t="str">
        <x:f>IF(J710="","",ROUND(J710*Tariffs!$D$6,2))</x:f>
      </x:c>
      <x:c r="O710" s="7" t="str">
        <x:f>IF(J710="","",ROUND(J710*Tariffs!$D$7,2))</x:f>
      </x:c>
      <x:c r="P710" s="5" t="str">
        <x:v>https://neuromia.ru/app/chat/models</x:v>
      </x:c>
      <x:c r="Q710" s="8" t="n">
        <x:v>46282.375</x:v>
      </x:c>
      <x:c r="R710" s="5" t="str">
        <x:v>Каталог показывает только «от», редактор не даёт итог до отправки. Тестовый промпт без отправки цену не вывел.</x:v>
      </x:c>
    </x:row>
    <x:row r="711" ht="22" customHeight="1">
      <x:c r="A711" s="5" t="str">
        <x:v>Чат</x:v>
      </x:c>
      <x:c r="B711" s="5" t="str">
        <x:v>Grok 4.5</x:v>
      </x:c>
      <x:c r="C711" s="5" t="str">
        <x:v>Текст → текст</x:v>
      </x:c>
      <x:c r="D711" s="5" t="str">
        <x:v>—</x:v>
      </x:c>
      <x:c r="E711" s="5" t="str">
        <x:v>—</x:v>
      </x:c>
      <x:c r="F711" s="5" t="str">
        <x:v>входные и выходные токены</x:v>
      </x:c>
      <x:c r="G711" s="5" t="str">
        <x:v>—</x:v>
      </x:c>
      <x:c r="H711" s="5" t="str">
        <x:v>Без отправки сообщения</x:v>
      </x:c>
      <x:c r="I711" s="6"/>
      <x:c r="J711" s="6"/>
      <x:c r="K711" s="5" t="str">
        <x:v>После генерации</x:v>
      </x:c>
      <x:c r="L711" s="5" t="str">
        <x:v>сообщение</x:v>
      </x:c>
      <x:c r="M711" s="7" t="str">
        <x:f>IF(J711="","",ROUND(J711*Tariffs!$D$5,2))</x:f>
      </x:c>
      <x:c r="N711" s="7" t="str">
        <x:f>IF(J711="","",ROUND(J711*Tariffs!$D$6,2))</x:f>
      </x:c>
      <x:c r="O711" s="7" t="str">
        <x:f>IF(J711="","",ROUND(J711*Tariffs!$D$7,2))</x:f>
      </x:c>
      <x:c r="P711" s="5" t="str">
        <x:v>https://neuromia.ru/app/chat/models</x:v>
      </x:c>
      <x:c r="Q711" s="8" t="n">
        <x:v>46282.375</x:v>
      </x:c>
      <x:c r="R711" s="5" t="str">
        <x:v>Каталог показывает только «от», редактор не даёт итог до отправки. Тестовый промпт без отправки цену не вывел.</x:v>
      </x:c>
    </x:row>
    <x:row r="712" ht="22" customHeight="1">
      <x:c r="A712" s="5" t="str">
        <x:v>Чат</x:v>
      </x:c>
      <x:c r="B712" s="5" t="str">
        <x:v>Gemini 3.6 Flash</x:v>
      </x:c>
      <x:c r="C712" s="5" t="str">
        <x:v>Текст → текст</x:v>
      </x:c>
      <x:c r="D712" s="5" t="str">
        <x:v>—</x:v>
      </x:c>
      <x:c r="E712" s="5" t="str">
        <x:v>—</x:v>
      </x:c>
      <x:c r="F712" s="5" t="str">
        <x:v>входные и выходные токены</x:v>
      </x:c>
      <x:c r="G712" s="5" t="str">
        <x:v>—</x:v>
      </x:c>
      <x:c r="H712" s="5" t="str">
        <x:v>Без отправки сообщения</x:v>
      </x:c>
      <x:c r="I712" s="6"/>
      <x:c r="J712" s="6"/>
      <x:c r="K712" s="5" t="str">
        <x:v>После генерации</x:v>
      </x:c>
      <x:c r="L712" s="5" t="str">
        <x:v>сообщение</x:v>
      </x:c>
      <x:c r="M712" s="7" t="str">
        <x:f>IF(J712="","",ROUND(J712*Tariffs!$D$5,2))</x:f>
      </x:c>
      <x:c r="N712" s="7" t="str">
        <x:f>IF(J712="","",ROUND(J712*Tariffs!$D$6,2))</x:f>
      </x:c>
      <x:c r="O712" s="7" t="str">
        <x:f>IF(J712="","",ROUND(J712*Tariffs!$D$7,2))</x:f>
      </x:c>
      <x:c r="P712" s="5" t="str">
        <x:v>https://neuromia.ru/app/chat/models</x:v>
      </x:c>
      <x:c r="Q712" s="8" t="n">
        <x:v>46282.375</x:v>
      </x:c>
      <x:c r="R712" s="5" t="str">
        <x:v>Каталог показывает только «от», редактор не даёт итог до отправки. Тестовый промпт без отправки цену не вывел.</x:v>
      </x:c>
    </x:row>
    <x:row r="713" ht="22" customHeight="1">
      <x:c r="A713" s="5" t="str">
        <x:v>Карточка товара</x:v>
      </x:c>
      <x:c r="B713" s="5" t="str">
        <x:v>Стандарт</x:v>
      </x:c>
      <x:c r="C713" s="5" t="str">
        <x:v>Авто (ИИ)</x:v>
      </x:c>
      <x:c r="D713" s="5" t="str">
        <x:v>1K</x:v>
      </x:c>
      <x:c r="E713" s="5" t="str">
        <x:v>3:4</x:v>
      </x:c>
      <x:c r="F713" s="5" t="str">
        <x:v>—</x:v>
      </x:c>
      <x:c r="G713" s="5" t="str">
        <x:v>—</x:v>
      </x:c>
      <x:c r="H713" s="5" t="str">
        <x:v>1 карточек; с тестовым фото и описанием</x:v>
      </x:c>
      <x:c r="I713" s="6" t="n">
        <x:v>10</x:v>
      </x:c>
      <x:c r="J713" s="6" t="n">
        <x:v>10</x:v>
      </x:c>
      <x:c r="K713" s="5" t="str">
        <x:v>Точная цена в редакторе</x:v>
      </x:c>
      <x:c r="L713" s="5" t="str">
        <x:v>пакет карточек</x:v>
      </x:c>
      <x:c r="M713" s="7" t="n">
        <x:f>IF(J713="","",ROUND(J713*Tariffs!$D$5,2))</x:f>
        <x:v>8.32</x:v>
      </x:c>
      <x:c r="N713" s="7" t="n">
        <x:f>IF(J713="","",ROUND(J713*Tariffs!$D$6,2))</x:f>
        <x:v>8.32</x:v>
      </x:c>
      <x:c r="O713" s="7" t="n">
        <x:f>IF(J713="","",ROUND(J713*Tariffs!$D$7,2))</x:f>
        <x:v>8.33</x:v>
      </x:c>
      <x:c r="P713" s="5" t="str">
        <x:v>https://neuromia.ru/app/product-card</x:v>
      </x:c>
      <x:c r="Q713" s="8" t="n">
        <x:v>46282.375</x:v>
      </x:c>
      <x:c r="R713" s="5" t="str">
        <x:v>С тестовым фото и описанием редактор показал 1 × 10.</x:v>
      </x:c>
    </x:row>
    <x:row r="714" ht="22" customHeight="1">
      <x:c r="A714" s="5" t="str">
        <x:v>Карточка товара</x:v>
      </x:c>
      <x:c r="B714" s="5" t="str">
        <x:v>Стандарт</x:v>
      </x:c>
      <x:c r="C714" s="5" t="str">
        <x:v>Авто (ИИ)</x:v>
      </x:c>
      <x:c r="D714" s="5" t="str">
        <x:v>1K</x:v>
      </x:c>
      <x:c r="E714" s="5" t="str">
        <x:v>3:4</x:v>
      </x:c>
      <x:c r="F714" s="5" t="str">
        <x:v>—</x:v>
      </x:c>
      <x:c r="G714" s="5" t="str">
        <x:v>—</x:v>
      </x:c>
      <x:c r="H714" s="5" t="str">
        <x:v>2 карточек; с тестовым фото и описанием</x:v>
      </x:c>
      <x:c r="I714" s="6" t="n">
        <x:v>20</x:v>
      </x:c>
      <x:c r="J714" s="6" t="n">
        <x:v>20</x:v>
      </x:c>
      <x:c r="K714" s="5" t="str">
        <x:v>Точная цена в редакторе</x:v>
      </x:c>
      <x:c r="L714" s="5" t="str">
        <x:v>пакет карточек</x:v>
      </x:c>
      <x:c r="M714" s="7" t="n">
        <x:f>IF(J714="","",ROUND(J714*Tariffs!$D$5,2))</x:f>
        <x:v>16.63</x:v>
      </x:c>
      <x:c r="N714" s="7" t="n">
        <x:f>IF(J714="","",ROUND(J714*Tariffs!$D$6,2))</x:f>
        <x:v>16.65</x:v>
      </x:c>
      <x:c r="O714" s="7" t="n">
        <x:f>IF(J714="","",ROUND(J714*Tariffs!$D$7,2))</x:f>
        <x:v>16.66</x:v>
      </x:c>
      <x:c r="P714" s="5" t="str">
        <x:v>https://neuromia.ru/app/product-card</x:v>
      </x:c>
      <x:c r="Q714" s="8" t="n">
        <x:v>46282.375</x:v>
      </x:c>
      <x:c r="R714" s="5" t="str">
        <x:v>С тестовым фото и описанием редактор показал 2 × 10.</x:v>
      </x:c>
    </x:row>
    <x:row r="715" ht="22" customHeight="1">
      <x:c r="A715" s="5" t="str">
        <x:v>Карточка товара</x:v>
      </x:c>
      <x:c r="B715" s="5" t="str">
        <x:v>Стандарт</x:v>
      </x:c>
      <x:c r="C715" s="5" t="str">
        <x:v>Авто (ИИ)</x:v>
      </x:c>
      <x:c r="D715" s="5" t="str">
        <x:v>1K</x:v>
      </x:c>
      <x:c r="E715" s="5" t="str">
        <x:v>3:4</x:v>
      </x:c>
      <x:c r="F715" s="5" t="str">
        <x:v>—</x:v>
      </x:c>
      <x:c r="G715" s="5" t="str">
        <x:v>—</x:v>
      </x:c>
      <x:c r="H715" s="5" t="str">
        <x:v>3 карточек; с тестовым фото и описанием</x:v>
      </x:c>
      <x:c r="I715" s="6" t="n">
        <x:v>30</x:v>
      </x:c>
      <x:c r="J715" s="6" t="n">
        <x:v>30</x:v>
      </x:c>
      <x:c r="K715" s="5" t="str">
        <x:v>Точная цена в редакторе</x:v>
      </x:c>
      <x:c r="L715" s="5" t="str">
        <x:v>пакет карточек</x:v>
      </x:c>
      <x:c r="M715" s="7" t="n">
        <x:f>IF(J715="","",ROUND(J715*Tariffs!$D$5,2))</x:f>
        <x:v>24.95</x:v>
      </x:c>
      <x:c r="N715" s="7" t="n">
        <x:f>IF(J715="","",ROUND(J715*Tariffs!$D$6,2))</x:f>
        <x:v>24.98</x:v>
      </x:c>
      <x:c r="O715" s="7" t="n">
        <x:f>IF(J715="","",ROUND(J715*Tariffs!$D$7,2))</x:f>
        <x:v>25</x:v>
      </x:c>
      <x:c r="P715" s="5" t="str">
        <x:v>https://neuromia.ru/app/product-card</x:v>
      </x:c>
      <x:c r="Q715" s="8" t="n">
        <x:v>46282.375</x:v>
      </x:c>
      <x:c r="R715" s="5" t="str">
        <x:v>С тестовым фото и описанием редактор показал 3 × 10.</x:v>
      </x:c>
    </x:row>
    <x:row r="716" ht="22" customHeight="1">
      <x:c r="A716" s="5" t="str">
        <x:v>Карточка товара</x:v>
      </x:c>
      <x:c r="B716" s="5" t="str">
        <x:v>Стандарт</x:v>
      </x:c>
      <x:c r="C716" s="5" t="str">
        <x:v>Авто (ИИ)</x:v>
      </x:c>
      <x:c r="D716" s="5" t="str">
        <x:v>1K</x:v>
      </x:c>
      <x:c r="E716" s="5" t="str">
        <x:v>3:4</x:v>
      </x:c>
      <x:c r="F716" s="5" t="str">
        <x:v>—</x:v>
      </x:c>
      <x:c r="G716" s="5" t="str">
        <x:v>—</x:v>
      </x:c>
      <x:c r="H716" s="5" t="str">
        <x:v>4 карточек; с тестовым фото и описанием</x:v>
      </x:c>
      <x:c r="I716" s="6" t="n">
        <x:v>40</x:v>
      </x:c>
      <x:c r="J716" s="6" t="n">
        <x:v>40</x:v>
      </x:c>
      <x:c r="K716" s="5" t="str">
        <x:v>Точная цена в редакторе</x:v>
      </x:c>
      <x:c r="L716" s="5" t="str">
        <x:v>пакет карточек</x:v>
      </x:c>
      <x:c r="M716" s="7" t="n">
        <x:f>IF(J716="","",ROUND(J716*Tariffs!$D$5,2))</x:f>
        <x:v>33.27</x:v>
      </x:c>
      <x:c r="N716" s="7" t="n">
        <x:f>IF(J716="","",ROUND(J716*Tariffs!$D$6,2))</x:f>
        <x:v>33.3</x:v>
      </x:c>
      <x:c r="O716" s="7" t="n">
        <x:f>IF(J716="","",ROUND(J716*Tariffs!$D$7,2))</x:f>
        <x:v>33.33</x:v>
      </x:c>
      <x:c r="P716" s="5" t="str">
        <x:v>https://neuromia.ru/app/product-card</x:v>
      </x:c>
      <x:c r="Q716" s="8" t="n">
        <x:v>46282.375</x:v>
      </x:c>
      <x:c r="R716" s="5" t="str">
        <x:v>С тестовым фото и описанием редактор показал 4 × 10.</x:v>
      </x:c>
    </x:row>
    <x:row r="717" ht="22" customHeight="1">
      <x:c r="A717" s="5" t="str">
        <x:v>Карточка товара</x:v>
      </x:c>
      <x:c r="B717" s="5" t="str">
        <x:v>Стандарт</x:v>
      </x:c>
      <x:c r="C717" s="5" t="str">
        <x:v>Авто (ИИ)</x:v>
      </x:c>
      <x:c r="D717" s="5" t="str">
        <x:v>1K</x:v>
      </x:c>
      <x:c r="E717" s="5" t="str">
        <x:v>3:4</x:v>
      </x:c>
      <x:c r="F717" s="5" t="str">
        <x:v>—</x:v>
      </x:c>
      <x:c r="G717" s="5" t="str">
        <x:v>—</x:v>
      </x:c>
      <x:c r="H717" s="5" t="str">
        <x:v>5 карточек; с тестовым фото и описанием</x:v>
      </x:c>
      <x:c r="I717" s="6" t="n">
        <x:v>50</x:v>
      </x:c>
      <x:c r="J717" s="6" t="n">
        <x:v>50</x:v>
      </x:c>
      <x:c r="K717" s="5" t="str">
        <x:v>Точная цена в редакторе</x:v>
      </x:c>
      <x:c r="L717" s="5" t="str">
        <x:v>пакет карточек</x:v>
      </x:c>
      <x:c r="M717" s="7" t="n">
        <x:f>IF(J717="","",ROUND(J717*Tariffs!$D$5,2))</x:f>
        <x:v>41.58</x:v>
      </x:c>
      <x:c r="N717" s="7" t="n">
        <x:f>IF(J717="","",ROUND(J717*Tariffs!$D$6,2))</x:f>
        <x:v>41.63</x:v>
      </x:c>
      <x:c r="O717" s="7" t="n">
        <x:f>IF(J717="","",ROUND(J717*Tariffs!$D$7,2))</x:f>
        <x:v>41.66</x:v>
      </x:c>
      <x:c r="P717" s="5" t="str">
        <x:v>https://neuromia.ru/app/product-card</x:v>
      </x:c>
      <x:c r="Q717" s="8" t="n">
        <x:v>46282.375</x:v>
      </x:c>
      <x:c r="R717" s="5" t="str">
        <x:v>С тестовым фото и описанием редактор показал 5 × 10.</x:v>
      </x:c>
    </x:row>
    <x:row r="718" ht="22" customHeight="1">
      <x:c r="A718" s="5" t="str">
        <x:v>Карточка товара</x:v>
      </x:c>
      <x:c r="B718" s="5" t="str">
        <x:v>Стандарт</x:v>
      </x:c>
      <x:c r="C718" s="5" t="str">
        <x:v>Авто (ИИ)</x:v>
      </x:c>
      <x:c r="D718" s="5" t="str">
        <x:v>1K</x:v>
      </x:c>
      <x:c r="E718" s="5" t="str">
        <x:v>3:4</x:v>
      </x:c>
      <x:c r="F718" s="5" t="str">
        <x:v>—</x:v>
      </x:c>
      <x:c r="G718" s="5" t="str">
        <x:v>—</x:v>
      </x:c>
      <x:c r="H718" s="5" t="str">
        <x:v>6 карточек; с тестовым фото и описанием</x:v>
      </x:c>
      <x:c r="I718" s="6" t="n">
        <x:v>60</x:v>
      </x:c>
      <x:c r="J718" s="6" t="n">
        <x:v>60</x:v>
      </x:c>
      <x:c r="K718" s="5" t="str">
        <x:v>Точная цена в редакторе</x:v>
      </x:c>
      <x:c r="L718" s="5" t="str">
        <x:v>пакет карточек</x:v>
      </x:c>
      <x:c r="M718" s="7" t="n">
        <x:f>IF(J718="","",ROUND(J718*Tariffs!$D$5,2))</x:f>
        <x:v>49.9</x:v>
      </x:c>
      <x:c r="N718" s="7" t="n">
        <x:f>IF(J718="","",ROUND(J718*Tariffs!$D$6,2))</x:f>
        <x:v>49.95</x:v>
      </x:c>
      <x:c r="O718" s="7" t="n">
        <x:f>IF(J718="","",ROUND(J718*Tariffs!$D$7,2))</x:f>
        <x:v>49.99</x:v>
      </x:c>
      <x:c r="P718" s="5" t="str">
        <x:v>https://neuromia.ru/app/product-card</x:v>
      </x:c>
      <x:c r="Q718" s="8" t="n">
        <x:v>46282.375</x:v>
      </x:c>
      <x:c r="R718" s="5" t="str">
        <x:v>С тестовым фото и описанием редактор показал 6 × 10.</x:v>
      </x:c>
    </x:row>
    <x:row r="719" ht="22" customHeight="1">
      <x:c r="A719" s="5" t="str">
        <x:v>Карточка товара</x:v>
      </x:c>
      <x:c r="B719" s="5" t="str">
        <x:v>PRO Премиум</x:v>
      </x:c>
      <x:c r="C719" s="5" t="str">
        <x:v>Авто (ИИ)</x:v>
      </x:c>
      <x:c r="D719" s="5" t="str">
        <x:v>1K</x:v>
      </x:c>
      <x:c r="E719" s="5" t="str">
        <x:v>3:4</x:v>
      </x:c>
      <x:c r="F719" s="5" t="str">
        <x:v>—</x:v>
      </x:c>
      <x:c r="G719" s="5" t="str">
        <x:v>—</x:v>
      </x:c>
      <x:c r="H719" s="5" t="str">
        <x:v>1 карточек; с тестовым фото и описанием</x:v>
      </x:c>
      <x:c r="I719" s="6" t="n">
        <x:v>30</x:v>
      </x:c>
      <x:c r="J719" s="6" t="n">
        <x:v>30</x:v>
      </x:c>
      <x:c r="K719" s="5" t="str">
        <x:v>Точная цена в редакторе</x:v>
      </x:c>
      <x:c r="L719" s="5" t="str">
        <x:v>пакет карточек</x:v>
      </x:c>
      <x:c r="M719" s="7" t="n">
        <x:f>IF(J719="","",ROUND(J719*Tariffs!$D$5,2))</x:f>
        <x:v>24.95</x:v>
      </x:c>
      <x:c r="N719" s="7" t="n">
        <x:f>IF(J719="","",ROUND(J719*Tariffs!$D$6,2))</x:f>
        <x:v>24.98</x:v>
      </x:c>
      <x:c r="O719" s="7" t="n">
        <x:f>IF(J719="","",ROUND(J719*Tariffs!$D$7,2))</x:f>
        <x:v>25</x:v>
      </x:c>
      <x:c r="P719" s="5" t="str">
        <x:v>https://neuromia.ru/app/product-card</x:v>
      </x:c>
      <x:c r="Q719" s="8" t="n">
        <x:v>46282.375</x:v>
      </x:c>
      <x:c r="R719" s="5" t="str">
        <x:v>С тестовым фото и описанием редактор показал 1 × 30.</x:v>
      </x:c>
    </x:row>
    <x:row r="720" ht="22" customHeight="1">
      <x:c r="A720" s="5" t="str">
        <x:v>Карточка товара</x:v>
      </x:c>
      <x:c r="B720" s="5" t="str">
        <x:v>PRO Премиум</x:v>
      </x:c>
      <x:c r="C720" s="5" t="str">
        <x:v>Авто (ИИ)</x:v>
      </x:c>
      <x:c r="D720" s="5" t="str">
        <x:v>1K</x:v>
      </x:c>
      <x:c r="E720" s="5" t="str">
        <x:v>3:4</x:v>
      </x:c>
      <x:c r="F720" s="5" t="str">
        <x:v>—</x:v>
      </x:c>
      <x:c r="G720" s="5" t="str">
        <x:v>—</x:v>
      </x:c>
      <x:c r="H720" s="5" t="str">
        <x:v>2 карточек; с тестовым фото и описанием</x:v>
      </x:c>
      <x:c r="I720" s="6" t="n">
        <x:v>60</x:v>
      </x:c>
      <x:c r="J720" s="6" t="n">
        <x:v>60</x:v>
      </x:c>
      <x:c r="K720" s="5" t="str">
        <x:v>Точная цена в редакторе</x:v>
      </x:c>
      <x:c r="L720" s="5" t="str">
        <x:v>пакет карточек</x:v>
      </x:c>
      <x:c r="M720" s="7" t="n">
        <x:f>IF(J720="","",ROUND(J720*Tariffs!$D$5,2))</x:f>
        <x:v>49.9</x:v>
      </x:c>
      <x:c r="N720" s="7" t="n">
        <x:f>IF(J720="","",ROUND(J720*Tariffs!$D$6,2))</x:f>
        <x:v>49.95</x:v>
      </x:c>
      <x:c r="O720" s="7" t="n">
        <x:f>IF(J720="","",ROUND(J720*Tariffs!$D$7,2))</x:f>
        <x:v>49.99</x:v>
      </x:c>
      <x:c r="P720" s="5" t="str">
        <x:v>https://neuromia.ru/app/product-card</x:v>
      </x:c>
      <x:c r="Q720" s="8" t="n">
        <x:v>46282.375</x:v>
      </x:c>
      <x:c r="R720" s="5" t="str">
        <x:v>С тестовым фото и описанием редактор показал 2 × 30.</x:v>
      </x:c>
    </x:row>
    <x:row r="721" ht="22" customHeight="1">
      <x:c r="A721" s="5" t="str">
        <x:v>Карточка товара</x:v>
      </x:c>
      <x:c r="B721" s="5" t="str">
        <x:v>PRO Премиум</x:v>
      </x:c>
      <x:c r="C721" s="5" t="str">
        <x:v>Авто (ИИ)</x:v>
      </x:c>
      <x:c r="D721" s="5" t="str">
        <x:v>1K</x:v>
      </x:c>
      <x:c r="E721" s="5" t="str">
        <x:v>3:4</x:v>
      </x:c>
      <x:c r="F721" s="5" t="str">
        <x:v>—</x:v>
      </x:c>
      <x:c r="G721" s="5" t="str">
        <x:v>—</x:v>
      </x:c>
      <x:c r="H721" s="5" t="str">
        <x:v>3 карточек; с тестовым фото и описанием</x:v>
      </x:c>
      <x:c r="I721" s="6" t="n">
        <x:v>90</x:v>
      </x:c>
      <x:c r="J721" s="6" t="n">
        <x:v>90</x:v>
      </x:c>
      <x:c r="K721" s="5" t="str">
        <x:v>Точная цена в редакторе</x:v>
      </x:c>
      <x:c r="L721" s="5" t="str">
        <x:v>пакет карточек</x:v>
      </x:c>
      <x:c r="M721" s="7" t="n">
        <x:f>IF(J721="","",ROUND(J721*Tariffs!$D$5,2))</x:f>
        <x:v>74.85</x:v>
      </x:c>
      <x:c r="N721" s="7" t="n">
        <x:f>IF(J721="","",ROUND(J721*Tariffs!$D$6,2))</x:f>
        <x:v>74.93</x:v>
      </x:c>
      <x:c r="O721" s="7" t="n">
        <x:f>IF(J721="","",ROUND(J721*Tariffs!$D$7,2))</x:f>
        <x:v>74.99</x:v>
      </x:c>
      <x:c r="P721" s="5" t="str">
        <x:v>https://neuromia.ru/app/product-card</x:v>
      </x:c>
      <x:c r="Q721" s="8" t="n">
        <x:v>46282.375</x:v>
      </x:c>
      <x:c r="R721" s="5" t="str">
        <x:v>С тестовым фото и описанием редактор показал 3 × 30.</x:v>
      </x:c>
    </x:row>
    <x:row r="722" ht="22" customHeight="1">
      <x:c r="A722" s="5" t="str">
        <x:v>Карточка товара</x:v>
      </x:c>
      <x:c r="B722" s="5" t="str">
        <x:v>PRO Премиум</x:v>
      </x:c>
      <x:c r="C722" s="5" t="str">
        <x:v>Авто (ИИ)</x:v>
      </x:c>
      <x:c r="D722" s="5" t="str">
        <x:v>1K</x:v>
      </x:c>
      <x:c r="E722" s="5" t="str">
        <x:v>3:4</x:v>
      </x:c>
      <x:c r="F722" s="5" t="str">
        <x:v>—</x:v>
      </x:c>
      <x:c r="G722" s="5" t="str">
        <x:v>—</x:v>
      </x:c>
      <x:c r="H722" s="5" t="str">
        <x:v>4 карточек; с тестовым фото и описанием</x:v>
      </x:c>
      <x:c r="I722" s="6" t="n">
        <x:v>120</x:v>
      </x:c>
      <x:c r="J722" s="6" t="n">
        <x:v>120</x:v>
      </x:c>
      <x:c r="K722" s="5" t="str">
        <x:v>Точная цена в редакторе</x:v>
      </x:c>
      <x:c r="L722" s="5" t="str">
        <x:v>пакет карточек</x:v>
      </x:c>
      <x:c r="M722" s="7" t="n">
        <x:f>IF(J722="","",ROUND(J722*Tariffs!$D$5,2))</x:f>
        <x:v>99.8</x:v>
      </x:c>
      <x:c r="N722" s="7" t="n">
        <x:f>IF(J722="","",ROUND(J722*Tariffs!$D$6,2))</x:f>
        <x:v>99.9</x:v>
      </x:c>
      <x:c r="O722" s="7" t="n">
        <x:f>IF(J722="","",ROUND(J722*Tariffs!$D$7,2))</x:f>
        <x:v>99.98</x:v>
      </x:c>
      <x:c r="P722" s="5" t="str">
        <x:v>https://neuromia.ru/app/product-card</x:v>
      </x:c>
      <x:c r="Q722" s="8" t="n">
        <x:v>46282.375</x:v>
      </x:c>
      <x:c r="R722" s="5" t="str">
        <x:v>С тестовым фото и описанием редактор показал 4 × 30.</x:v>
      </x:c>
    </x:row>
    <x:row r="723" ht="22" customHeight="1">
      <x:c r="A723" s="5" t="str">
        <x:v>Карточка товара</x:v>
      </x:c>
      <x:c r="B723" s="5" t="str">
        <x:v>PRO Премиум</x:v>
      </x:c>
      <x:c r="C723" s="5" t="str">
        <x:v>Авто (ИИ)</x:v>
      </x:c>
      <x:c r="D723" s="5" t="str">
        <x:v>1K</x:v>
      </x:c>
      <x:c r="E723" s="5" t="str">
        <x:v>3:4</x:v>
      </x:c>
      <x:c r="F723" s="5" t="str">
        <x:v>—</x:v>
      </x:c>
      <x:c r="G723" s="5" t="str">
        <x:v>—</x:v>
      </x:c>
      <x:c r="H723" s="5" t="str">
        <x:v>5 карточек; с тестовым фото и описанием</x:v>
      </x:c>
      <x:c r="I723" s="6" t="n">
        <x:v>150</x:v>
      </x:c>
      <x:c r="J723" s="6" t="n">
        <x:v>150</x:v>
      </x:c>
      <x:c r="K723" s="5" t="str">
        <x:v>Точная цена в редакторе</x:v>
      </x:c>
      <x:c r="L723" s="5" t="str">
        <x:v>пакет карточек</x:v>
      </x:c>
      <x:c r="M723" s="7" t="n">
        <x:f>IF(J723="","",ROUND(J723*Tariffs!$D$5,2))</x:f>
        <x:v>124.75</x:v>
      </x:c>
      <x:c r="N723" s="7" t="n">
        <x:f>IF(J723="","",ROUND(J723*Tariffs!$D$6,2))</x:f>
        <x:v>124.88</x:v>
      </x:c>
      <x:c r="O723" s="7" t="n">
        <x:f>IF(J723="","",ROUND(J723*Tariffs!$D$7,2))</x:f>
        <x:v>124.98</x:v>
      </x:c>
      <x:c r="P723" s="5" t="str">
        <x:v>https://neuromia.ru/app/product-card</x:v>
      </x:c>
      <x:c r="Q723" s="8" t="n">
        <x:v>46282.375</x:v>
      </x:c>
      <x:c r="R723" s="5" t="str">
        <x:v>С тестовым фото и описанием редактор показал 5 × 30.</x:v>
      </x:c>
    </x:row>
    <x:row r="724" ht="22" customHeight="1">
      <x:c r="A724" s="5" t="str">
        <x:v>Карточка товара</x:v>
      </x:c>
      <x:c r="B724" s="5" t="str">
        <x:v>PRO Премиум</x:v>
      </x:c>
      <x:c r="C724" s="5" t="str">
        <x:v>Авто (ИИ)</x:v>
      </x:c>
      <x:c r="D724" s="5" t="str">
        <x:v>1K</x:v>
      </x:c>
      <x:c r="E724" s="5" t="str">
        <x:v>3:4</x:v>
      </x:c>
      <x:c r="F724" s="5" t="str">
        <x:v>—</x:v>
      </x:c>
      <x:c r="G724" s="5" t="str">
        <x:v>—</x:v>
      </x:c>
      <x:c r="H724" s="5" t="str">
        <x:v>6 карточек; с тестовым фото и описанием</x:v>
      </x:c>
      <x:c r="I724" s="6" t="n">
        <x:v>180</x:v>
      </x:c>
      <x:c r="J724" s="6" t="n">
        <x:v>180</x:v>
      </x:c>
      <x:c r="K724" s="5" t="str">
        <x:v>Точная цена в редакторе</x:v>
      </x:c>
      <x:c r="L724" s="5" t="str">
        <x:v>пакет карточек</x:v>
      </x:c>
      <x:c r="M724" s="7" t="n">
        <x:f>IF(J724="","",ROUND(J724*Tariffs!$D$5,2))</x:f>
        <x:v>149.7</x:v>
      </x:c>
      <x:c r="N724" s="7" t="n">
        <x:f>IF(J724="","",ROUND(J724*Tariffs!$D$6,2))</x:f>
        <x:v>149.85</x:v>
      </x:c>
      <x:c r="O724" s="7" t="n">
        <x:f>IF(J724="","",ROUND(J724*Tariffs!$D$7,2))</x:f>
        <x:v>149.97</x:v>
      </x:c>
      <x:c r="P724" s="5" t="str">
        <x:v>https://neuromia.ru/app/product-card</x:v>
      </x:c>
      <x:c r="Q724" s="8" t="n">
        <x:v>46282.375</x:v>
      </x:c>
      <x:c r="R724" s="5" t="str">
        <x:v>С тестовым фото и описанием редактор показал 6 × 30.</x:v>
      </x:c>
    </x:row>
    <x:row r="725" ht="22" customHeight="1">
      <x:c r="A725" s="5" t="str">
        <x:v>Карточка товара</x:v>
      </x:c>
      <x:c r="B725" s="5" t="str">
        <x:v>PRO Премиум</x:v>
      </x:c>
      <x:c r="C725" s="5" t="str">
        <x:v>Авто (ИИ)</x:v>
      </x:c>
      <x:c r="D725" s="5" t="str">
        <x:v>2K</x:v>
      </x:c>
      <x:c r="E725" s="5" t="str">
        <x:v>3:4</x:v>
      </x:c>
      <x:c r="F725" s="5" t="str">
        <x:v>—</x:v>
      </x:c>
      <x:c r="G725" s="5" t="str">
        <x:v>—</x:v>
      </x:c>
      <x:c r="H725" s="5" t="str">
        <x:v>1 карточек; с тестовым фото и описанием</x:v>
      </x:c>
      <x:c r="I725" s="6" t="n">
        <x:v>30</x:v>
      </x:c>
      <x:c r="J725" s="6" t="n">
        <x:v>30</x:v>
      </x:c>
      <x:c r="K725" s="5" t="str">
        <x:v>Точная цена в редакторе</x:v>
      </x:c>
      <x:c r="L725" s="5" t="str">
        <x:v>пакет карточек</x:v>
      </x:c>
      <x:c r="M725" s="7" t="n">
        <x:f>IF(J725="","",ROUND(J725*Tariffs!$D$5,2))</x:f>
        <x:v>24.95</x:v>
      </x:c>
      <x:c r="N725" s="7" t="n">
        <x:f>IF(J725="","",ROUND(J725*Tariffs!$D$6,2))</x:f>
        <x:v>24.98</x:v>
      </x:c>
      <x:c r="O725" s="7" t="n">
        <x:f>IF(J725="","",ROUND(J725*Tariffs!$D$7,2))</x:f>
        <x:v>25</x:v>
      </x:c>
      <x:c r="P725" s="5" t="str">
        <x:v>https://neuromia.ru/app/product-card</x:v>
      </x:c>
      <x:c r="Q725" s="8" t="n">
        <x:v>46282.375</x:v>
      </x:c>
      <x:c r="R725" s="5" t="str">
        <x:v>С тестовым фото и описанием редактор показал 1 × 30.</x:v>
      </x:c>
    </x:row>
    <x:row r="726" ht="22" customHeight="1">
      <x:c r="A726" s="5" t="str">
        <x:v>Карточка товара</x:v>
      </x:c>
      <x:c r="B726" s="5" t="str">
        <x:v>PRO Премиум</x:v>
      </x:c>
      <x:c r="C726" s="5" t="str">
        <x:v>Авто (ИИ)</x:v>
      </x:c>
      <x:c r="D726" s="5" t="str">
        <x:v>2K</x:v>
      </x:c>
      <x:c r="E726" s="5" t="str">
        <x:v>3:4</x:v>
      </x:c>
      <x:c r="F726" s="5" t="str">
        <x:v>—</x:v>
      </x:c>
      <x:c r="G726" s="5" t="str">
        <x:v>—</x:v>
      </x:c>
      <x:c r="H726" s="5" t="str">
        <x:v>2 карточек; с тестовым фото и описанием</x:v>
      </x:c>
      <x:c r="I726" s="6" t="n">
        <x:v>60</x:v>
      </x:c>
      <x:c r="J726" s="6" t="n">
        <x:v>60</x:v>
      </x:c>
      <x:c r="K726" s="5" t="str">
        <x:v>Точная цена в редакторе</x:v>
      </x:c>
      <x:c r="L726" s="5" t="str">
        <x:v>пакет карточек</x:v>
      </x:c>
      <x:c r="M726" s="7" t="n">
        <x:f>IF(J726="","",ROUND(J726*Tariffs!$D$5,2))</x:f>
        <x:v>49.9</x:v>
      </x:c>
      <x:c r="N726" s="7" t="n">
        <x:f>IF(J726="","",ROUND(J726*Tariffs!$D$6,2))</x:f>
        <x:v>49.95</x:v>
      </x:c>
      <x:c r="O726" s="7" t="n">
        <x:f>IF(J726="","",ROUND(J726*Tariffs!$D$7,2))</x:f>
        <x:v>49.99</x:v>
      </x:c>
      <x:c r="P726" s="5" t="str">
        <x:v>https://neuromia.ru/app/product-card</x:v>
      </x:c>
      <x:c r="Q726" s="8" t="n">
        <x:v>46282.375</x:v>
      </x:c>
      <x:c r="R726" s="5" t="str">
        <x:v>С тестовым фото и описанием редактор показал 2 × 30.</x:v>
      </x:c>
    </x:row>
    <x:row r="727" ht="22" customHeight="1">
      <x:c r="A727" s="5" t="str">
        <x:v>Карточка товара</x:v>
      </x:c>
      <x:c r="B727" s="5" t="str">
        <x:v>PRO Премиум</x:v>
      </x:c>
      <x:c r="C727" s="5" t="str">
        <x:v>Авто (ИИ)</x:v>
      </x:c>
      <x:c r="D727" s="5" t="str">
        <x:v>2K</x:v>
      </x:c>
      <x:c r="E727" s="5" t="str">
        <x:v>3:4</x:v>
      </x:c>
      <x:c r="F727" s="5" t="str">
        <x:v>—</x:v>
      </x:c>
      <x:c r="G727" s="5" t="str">
        <x:v>—</x:v>
      </x:c>
      <x:c r="H727" s="5" t="str">
        <x:v>3 карточек; с тестовым фото и описанием</x:v>
      </x:c>
      <x:c r="I727" s="6" t="n">
        <x:v>90</x:v>
      </x:c>
      <x:c r="J727" s="6" t="n">
        <x:v>90</x:v>
      </x:c>
      <x:c r="K727" s="5" t="str">
        <x:v>Точная цена в редакторе</x:v>
      </x:c>
      <x:c r="L727" s="5" t="str">
        <x:v>пакет карточек</x:v>
      </x:c>
      <x:c r="M727" s="7" t="n">
        <x:f>IF(J727="","",ROUND(J727*Tariffs!$D$5,2))</x:f>
        <x:v>74.85</x:v>
      </x:c>
      <x:c r="N727" s="7" t="n">
        <x:f>IF(J727="","",ROUND(J727*Tariffs!$D$6,2))</x:f>
        <x:v>74.93</x:v>
      </x:c>
      <x:c r="O727" s="7" t="n">
        <x:f>IF(J727="","",ROUND(J727*Tariffs!$D$7,2))</x:f>
        <x:v>74.99</x:v>
      </x:c>
      <x:c r="P727" s="5" t="str">
        <x:v>https://neuromia.ru/app/product-card</x:v>
      </x:c>
      <x:c r="Q727" s="8" t="n">
        <x:v>46282.375</x:v>
      </x:c>
      <x:c r="R727" s="5" t="str">
        <x:v>С тестовым фото и описанием редактор показал 3 × 30.</x:v>
      </x:c>
    </x:row>
    <x:row r="728" ht="22" customHeight="1">
      <x:c r="A728" s="5" t="str">
        <x:v>Карточка товара</x:v>
      </x:c>
      <x:c r="B728" s="5" t="str">
        <x:v>PRO Премиум</x:v>
      </x:c>
      <x:c r="C728" s="5" t="str">
        <x:v>Авто (ИИ)</x:v>
      </x:c>
      <x:c r="D728" s="5" t="str">
        <x:v>2K</x:v>
      </x:c>
      <x:c r="E728" s="5" t="str">
        <x:v>3:4</x:v>
      </x:c>
      <x:c r="F728" s="5" t="str">
        <x:v>—</x:v>
      </x:c>
      <x:c r="G728" s="5" t="str">
        <x:v>—</x:v>
      </x:c>
      <x:c r="H728" s="5" t="str">
        <x:v>4 карточек; с тестовым фото и описанием</x:v>
      </x:c>
      <x:c r="I728" s="6" t="n">
        <x:v>120</x:v>
      </x:c>
      <x:c r="J728" s="6" t="n">
        <x:v>120</x:v>
      </x:c>
      <x:c r="K728" s="5" t="str">
        <x:v>Точная цена в редакторе</x:v>
      </x:c>
      <x:c r="L728" s="5" t="str">
        <x:v>пакет карточек</x:v>
      </x:c>
      <x:c r="M728" s="7" t="n">
        <x:f>IF(J728="","",ROUND(J728*Tariffs!$D$5,2))</x:f>
        <x:v>99.8</x:v>
      </x:c>
      <x:c r="N728" s="7" t="n">
        <x:f>IF(J728="","",ROUND(J728*Tariffs!$D$6,2))</x:f>
        <x:v>99.9</x:v>
      </x:c>
      <x:c r="O728" s="7" t="n">
        <x:f>IF(J728="","",ROUND(J728*Tariffs!$D$7,2))</x:f>
        <x:v>99.98</x:v>
      </x:c>
      <x:c r="P728" s="5" t="str">
        <x:v>https://neuromia.ru/app/product-card</x:v>
      </x:c>
      <x:c r="Q728" s="8" t="n">
        <x:v>46282.375</x:v>
      </x:c>
      <x:c r="R728" s="5" t="str">
        <x:v>С тестовым фото и описанием редактор показал 4 × 30.</x:v>
      </x:c>
    </x:row>
    <x:row r="729" ht="22" customHeight="1">
      <x:c r="A729" s="5" t="str">
        <x:v>Карточка товара</x:v>
      </x:c>
      <x:c r="B729" s="5" t="str">
        <x:v>PRO Премиум</x:v>
      </x:c>
      <x:c r="C729" s="5" t="str">
        <x:v>Авто (ИИ)</x:v>
      </x:c>
      <x:c r="D729" s="5" t="str">
        <x:v>2K</x:v>
      </x:c>
      <x:c r="E729" s="5" t="str">
        <x:v>3:4</x:v>
      </x:c>
      <x:c r="F729" s="5" t="str">
        <x:v>—</x:v>
      </x:c>
      <x:c r="G729" s="5" t="str">
        <x:v>—</x:v>
      </x:c>
      <x:c r="H729" s="5" t="str">
        <x:v>5 карточек; с тестовым фото и описанием</x:v>
      </x:c>
      <x:c r="I729" s="6" t="n">
        <x:v>150</x:v>
      </x:c>
      <x:c r="J729" s="6" t="n">
        <x:v>150</x:v>
      </x:c>
      <x:c r="K729" s="5" t="str">
        <x:v>Точная цена в редакторе</x:v>
      </x:c>
      <x:c r="L729" s="5" t="str">
        <x:v>пакет карточек</x:v>
      </x:c>
      <x:c r="M729" s="7" t="n">
        <x:f>IF(J729="","",ROUND(J729*Tariffs!$D$5,2))</x:f>
        <x:v>124.75</x:v>
      </x:c>
      <x:c r="N729" s="7" t="n">
        <x:f>IF(J729="","",ROUND(J729*Tariffs!$D$6,2))</x:f>
        <x:v>124.88</x:v>
      </x:c>
      <x:c r="O729" s="7" t="n">
        <x:f>IF(J729="","",ROUND(J729*Tariffs!$D$7,2))</x:f>
        <x:v>124.98</x:v>
      </x:c>
      <x:c r="P729" s="5" t="str">
        <x:v>https://neuromia.ru/app/product-card</x:v>
      </x:c>
      <x:c r="Q729" s="8" t="n">
        <x:v>46282.375</x:v>
      </x:c>
      <x:c r="R729" s="5" t="str">
        <x:v>С тестовым фото и описанием редактор показал 5 × 30.</x:v>
      </x:c>
    </x:row>
    <x:row r="730" ht="22" customHeight="1">
      <x:c r="A730" s="5" t="str">
        <x:v>Карточка товара</x:v>
      </x:c>
      <x:c r="B730" s="5" t="str">
        <x:v>PRO Премиум</x:v>
      </x:c>
      <x:c r="C730" s="5" t="str">
        <x:v>Авто (ИИ)</x:v>
      </x:c>
      <x:c r="D730" s="5" t="str">
        <x:v>2K</x:v>
      </x:c>
      <x:c r="E730" s="5" t="str">
        <x:v>3:4</x:v>
      </x:c>
      <x:c r="F730" s="5" t="str">
        <x:v>—</x:v>
      </x:c>
      <x:c r="G730" s="5" t="str">
        <x:v>—</x:v>
      </x:c>
      <x:c r="H730" s="5" t="str">
        <x:v>6 карточек; с тестовым фото и описанием</x:v>
      </x:c>
      <x:c r="I730" s="6" t="n">
        <x:v>180</x:v>
      </x:c>
      <x:c r="J730" s="6" t="n">
        <x:v>180</x:v>
      </x:c>
      <x:c r="K730" s="5" t="str">
        <x:v>Точная цена в редакторе</x:v>
      </x:c>
      <x:c r="L730" s="5" t="str">
        <x:v>пакет карточек</x:v>
      </x:c>
      <x:c r="M730" s="7" t="n">
        <x:f>IF(J730="","",ROUND(J730*Tariffs!$D$5,2))</x:f>
        <x:v>149.7</x:v>
      </x:c>
      <x:c r="N730" s="7" t="n">
        <x:f>IF(J730="","",ROUND(J730*Tariffs!$D$6,2))</x:f>
        <x:v>149.85</x:v>
      </x:c>
      <x:c r="O730" s="7" t="n">
        <x:f>IF(J730="","",ROUND(J730*Tariffs!$D$7,2))</x:f>
        <x:v>149.97</x:v>
      </x:c>
      <x:c r="P730" s="5" t="str">
        <x:v>https://neuromia.ru/app/product-card</x:v>
      </x:c>
      <x:c r="Q730" s="8" t="n">
        <x:v>46282.375</x:v>
      </x:c>
      <x:c r="R730" s="5" t="str">
        <x:v>С тестовым фото и описанием редактор показал 6 × 30.</x:v>
      </x:c>
    </x:row>
    <x:row r="731" ht="22" customHeight="1">
      <x:c r="A731" s="5" t="str">
        <x:v>Карточка товара</x:v>
      </x:c>
      <x:c r="B731" s="5" t="str">
        <x:v>PRO Премиум</x:v>
      </x:c>
      <x:c r="C731" s="5" t="str">
        <x:v>Авто (ИИ)</x:v>
      </x:c>
      <x:c r="D731" s="5" t="str">
        <x:v>4K</x:v>
      </x:c>
      <x:c r="E731" s="5" t="str">
        <x:v>3:4</x:v>
      </x:c>
      <x:c r="F731" s="5" t="str">
        <x:v>—</x:v>
      </x:c>
      <x:c r="G731" s="5" t="str">
        <x:v>—</x:v>
      </x:c>
      <x:c r="H731" s="5" t="str">
        <x:v>1 карточек; без фото</x:v>
      </x:c>
      <x:c r="I731" s="6" t="n">
        <x:v>40</x:v>
      </x:c>
      <x:c r="J731" s="6"/>
      <x:c r="K731" s="5" t="str">
        <x:v>До загрузки файла</x:v>
      </x:c>
      <x:c r="L731" s="5" t="str">
        <x:v>пакет карточек</x:v>
      </x:c>
      <x:c r="M731" s="7" t="str">
        <x:f>IF(J731="","",ROUND(J731*Tariffs!$D$5,2))</x:f>
      </x:c>
      <x:c r="N731" s="7" t="str">
        <x:f>IF(J731="","",ROUND(J731*Tariffs!$D$6,2))</x:f>
      </x:c>
      <x:c r="O731" s="7" t="str">
        <x:f>IF(J731="","",ROUND(J731*Tariffs!$D$7,2))</x:f>
      </x:c>
      <x:c r="P731" s="5" t="str">
        <x:v>https://neuromia.ru/app/product-card</x:v>
      </x:c>
      <x:c r="Q731" s="8" t="n">
        <x:v>46282.375</x:v>
      </x:c>
      <x:c r="R731" s="5" t="str">
        <x:v>До файла показано 1 × 40; с тестовым фото 4K не выбирался.</x:v>
      </x:c>
    </x:row>
    <x:row r="732" ht="22" customHeight="1">
      <x:c r="A732" s="5" t="str">
        <x:v>Карточка товара</x:v>
      </x:c>
      <x:c r="B732" s="5" t="str">
        <x:v>PRO Премиум</x:v>
      </x:c>
      <x:c r="C732" s="5" t="str">
        <x:v>Авто (ИИ)</x:v>
      </x:c>
      <x:c r="D732" s="5" t="str">
        <x:v>4K</x:v>
      </x:c>
      <x:c r="E732" s="5" t="str">
        <x:v>3:4</x:v>
      </x:c>
      <x:c r="F732" s="5" t="str">
        <x:v>—</x:v>
      </x:c>
      <x:c r="G732" s="5" t="str">
        <x:v>—</x:v>
      </x:c>
      <x:c r="H732" s="5" t="str">
        <x:v>2 карточек; без фото</x:v>
      </x:c>
      <x:c r="I732" s="6" t="n">
        <x:v>80</x:v>
      </x:c>
      <x:c r="J732" s="6"/>
      <x:c r="K732" s="5" t="str">
        <x:v>До загрузки файла</x:v>
      </x:c>
      <x:c r="L732" s="5" t="str">
        <x:v>пакет карточек</x:v>
      </x:c>
      <x:c r="M732" s="7" t="str">
        <x:f>IF(J732="","",ROUND(J732*Tariffs!$D$5,2))</x:f>
      </x:c>
      <x:c r="N732" s="7" t="str">
        <x:f>IF(J732="","",ROUND(J732*Tariffs!$D$6,2))</x:f>
      </x:c>
      <x:c r="O732" s="7" t="str">
        <x:f>IF(J732="","",ROUND(J732*Tariffs!$D$7,2))</x:f>
      </x:c>
      <x:c r="P732" s="5" t="str">
        <x:v>https://neuromia.ru/app/product-card</x:v>
      </x:c>
      <x:c r="Q732" s="8" t="n">
        <x:v>46282.375</x:v>
      </x:c>
      <x:c r="R732" s="5" t="str">
        <x:v>До файла показано 2 × 40; с тестовым фото 4K не выбирался.</x:v>
      </x:c>
    </x:row>
    <x:row r="733" ht="22" customHeight="1">
      <x:c r="A733" s="5" t="str">
        <x:v>Карточка товара</x:v>
      </x:c>
      <x:c r="B733" s="5" t="str">
        <x:v>PRO Премиум</x:v>
      </x:c>
      <x:c r="C733" s="5" t="str">
        <x:v>Авто (ИИ)</x:v>
      </x:c>
      <x:c r="D733" s="5" t="str">
        <x:v>4K</x:v>
      </x:c>
      <x:c r="E733" s="5" t="str">
        <x:v>3:4</x:v>
      </x:c>
      <x:c r="F733" s="5" t="str">
        <x:v>—</x:v>
      </x:c>
      <x:c r="G733" s="5" t="str">
        <x:v>—</x:v>
      </x:c>
      <x:c r="H733" s="5" t="str">
        <x:v>3 карточек; без фото</x:v>
      </x:c>
      <x:c r="I733" s="6" t="n">
        <x:v>120</x:v>
      </x:c>
      <x:c r="J733" s="6"/>
      <x:c r="K733" s="5" t="str">
        <x:v>До загрузки файла</x:v>
      </x:c>
      <x:c r="L733" s="5" t="str">
        <x:v>пакет карточек</x:v>
      </x:c>
      <x:c r="M733" s="7" t="str">
        <x:f>IF(J733="","",ROUND(J733*Tariffs!$D$5,2))</x:f>
      </x:c>
      <x:c r="N733" s="7" t="str">
        <x:f>IF(J733="","",ROUND(J733*Tariffs!$D$6,2))</x:f>
      </x:c>
      <x:c r="O733" s="7" t="str">
        <x:f>IF(J733="","",ROUND(J733*Tariffs!$D$7,2))</x:f>
      </x:c>
      <x:c r="P733" s="5" t="str">
        <x:v>https://neuromia.ru/app/product-card</x:v>
      </x:c>
      <x:c r="Q733" s="8" t="n">
        <x:v>46282.375</x:v>
      </x:c>
      <x:c r="R733" s="5" t="str">
        <x:v>До файла показано 3 × 40; с тестовым фото 4K не выбирался.</x:v>
      </x:c>
    </x:row>
    <x:row r="734" ht="22" customHeight="1">
      <x:c r="A734" s="5" t="str">
        <x:v>Карточка товара</x:v>
      </x:c>
      <x:c r="B734" s="5" t="str">
        <x:v>PRO Премиум</x:v>
      </x:c>
      <x:c r="C734" s="5" t="str">
        <x:v>Авто (ИИ)</x:v>
      </x:c>
      <x:c r="D734" s="5" t="str">
        <x:v>4K</x:v>
      </x:c>
      <x:c r="E734" s="5" t="str">
        <x:v>3:4</x:v>
      </x:c>
      <x:c r="F734" s="5" t="str">
        <x:v>—</x:v>
      </x:c>
      <x:c r="G734" s="5" t="str">
        <x:v>—</x:v>
      </x:c>
      <x:c r="H734" s="5" t="str">
        <x:v>4 карточек; без фото</x:v>
      </x:c>
      <x:c r="I734" s="6" t="n">
        <x:v>160</x:v>
      </x:c>
      <x:c r="J734" s="6"/>
      <x:c r="K734" s="5" t="str">
        <x:v>До загрузки файла</x:v>
      </x:c>
      <x:c r="L734" s="5" t="str">
        <x:v>пакет карточек</x:v>
      </x:c>
      <x:c r="M734" s="7" t="str">
        <x:f>IF(J734="","",ROUND(J734*Tariffs!$D$5,2))</x:f>
      </x:c>
      <x:c r="N734" s="7" t="str">
        <x:f>IF(J734="","",ROUND(J734*Tariffs!$D$6,2))</x:f>
      </x:c>
      <x:c r="O734" s="7" t="str">
        <x:f>IF(J734="","",ROUND(J734*Tariffs!$D$7,2))</x:f>
      </x:c>
      <x:c r="P734" s="5" t="str">
        <x:v>https://neuromia.ru/app/product-card</x:v>
      </x:c>
      <x:c r="Q734" s="8" t="n">
        <x:v>46282.375</x:v>
      </x:c>
      <x:c r="R734" s="5" t="str">
        <x:v>До файла показано 4 × 40; с тестовым фото 4K не выбирался.</x:v>
      </x:c>
    </x:row>
    <x:row r="735" ht="22" customHeight="1">
      <x:c r="A735" s="5" t="str">
        <x:v>Карточка товара</x:v>
      </x:c>
      <x:c r="B735" s="5" t="str">
        <x:v>PRO Премиум</x:v>
      </x:c>
      <x:c r="C735" s="5" t="str">
        <x:v>Авто (ИИ)</x:v>
      </x:c>
      <x:c r="D735" s="5" t="str">
        <x:v>4K</x:v>
      </x:c>
      <x:c r="E735" s="5" t="str">
        <x:v>3:4</x:v>
      </x:c>
      <x:c r="F735" s="5" t="str">
        <x:v>—</x:v>
      </x:c>
      <x:c r="G735" s="5" t="str">
        <x:v>—</x:v>
      </x:c>
      <x:c r="H735" s="5" t="str">
        <x:v>5 карточек; без фото</x:v>
      </x:c>
      <x:c r="I735" s="6" t="n">
        <x:v>200</x:v>
      </x:c>
      <x:c r="J735" s="6"/>
      <x:c r="K735" s="5" t="str">
        <x:v>До загрузки файла</x:v>
      </x:c>
      <x:c r="L735" s="5" t="str">
        <x:v>пакет карточек</x:v>
      </x:c>
      <x:c r="M735" s="7" t="str">
        <x:f>IF(J735="","",ROUND(J735*Tariffs!$D$5,2))</x:f>
      </x:c>
      <x:c r="N735" s="7" t="str">
        <x:f>IF(J735="","",ROUND(J735*Tariffs!$D$6,2))</x:f>
      </x:c>
      <x:c r="O735" s="7" t="str">
        <x:f>IF(J735="","",ROUND(J735*Tariffs!$D$7,2))</x:f>
      </x:c>
      <x:c r="P735" s="5" t="str">
        <x:v>https://neuromia.ru/app/product-card</x:v>
      </x:c>
      <x:c r="Q735" s="8" t="n">
        <x:v>46282.375</x:v>
      </x:c>
      <x:c r="R735" s="5" t="str">
        <x:v>До файла показано 5 × 40; с тестовым фото 4K не выбирался.</x:v>
      </x:c>
    </x:row>
    <x:row r="736" ht="22" customHeight="1">
      <x:c r="A736" s="5" t="str">
        <x:v>Карточка товара</x:v>
      </x:c>
      <x:c r="B736" s="5" t="str">
        <x:v>PRO Премиум</x:v>
      </x:c>
      <x:c r="C736" s="5" t="str">
        <x:v>Авто (ИИ)</x:v>
      </x:c>
      <x:c r="D736" s="5" t="str">
        <x:v>4K</x:v>
      </x:c>
      <x:c r="E736" s="5" t="str">
        <x:v>3:4</x:v>
      </x:c>
      <x:c r="F736" s="5" t="str">
        <x:v>—</x:v>
      </x:c>
      <x:c r="G736" s="5" t="str">
        <x:v>—</x:v>
      </x:c>
      <x:c r="H736" s="5" t="str">
        <x:v>6 карточек; без фото</x:v>
      </x:c>
      <x:c r="I736" s="6" t="n">
        <x:v>240</x:v>
      </x:c>
      <x:c r="J736" s="6"/>
      <x:c r="K736" s="5" t="str">
        <x:v>До загрузки файла</x:v>
      </x:c>
      <x:c r="L736" s="5" t="str">
        <x:v>пакет карточек</x:v>
      </x:c>
      <x:c r="M736" s="7" t="str">
        <x:f>IF(J736="","",ROUND(J736*Tariffs!$D$5,2))</x:f>
      </x:c>
      <x:c r="N736" s="7" t="str">
        <x:f>IF(J736="","",ROUND(J736*Tariffs!$D$6,2))</x:f>
      </x:c>
      <x:c r="O736" s="7" t="str">
        <x:f>IF(J736="","",ROUND(J736*Tariffs!$D$7,2))</x:f>
      </x:c>
      <x:c r="P736" s="5" t="str">
        <x:v>https://neuromia.ru/app/product-card</x:v>
      </x:c>
      <x:c r="Q736" s="8" t="n">
        <x:v>46282.375</x:v>
      </x:c>
      <x:c r="R736" s="5" t="str">
        <x:v>До файла показано 6 × 40; с тестовым фото 4K не выбирался.</x:v>
      </x:c>
    </x:row>
    <x:row r="737" ht="22" customHeight="1">
      <x:c r="A737" s="5" t="str">
        <x:v>Карточка товара</x:v>
      </x:c>
      <x:c r="B737" s="5" t="str">
        <x:v>PRO Премиум</x:v>
      </x:c>
      <x:c r="C737" s="5" t="str">
        <x:v>Вручную</x:v>
      </x:c>
      <x:c r="D737" s="5" t="str">
        <x:v>4K</x:v>
      </x:c>
      <x:c r="E737" s="5" t="str">
        <x:v>3:4</x:v>
      </x:c>
      <x:c r="F737" s="5" t="str">
        <x:v>—</x:v>
      </x:c>
      <x:c r="G737" s="5" t="str">
        <x:v>—</x:v>
      </x:c>
      <x:c r="H737" s="5" t="str">
        <x:v>6 карточек; без фото</x:v>
      </x:c>
      <x:c r="I737" s="6" t="n">
        <x:v>240</x:v>
      </x:c>
      <x:c r="J737" s="6"/>
      <x:c r="K737" s="5" t="str">
        <x:v>До загрузки файла</x:v>
      </x:c>
      <x:c r="L737" s="5" t="str">
        <x:v>пакет карточек</x:v>
      </x:c>
      <x:c r="M737" s="7" t="str">
        <x:f>IF(J737="","",ROUND(J737*Tariffs!$D$5,2))</x:f>
      </x:c>
      <x:c r="N737" s="7" t="str">
        <x:f>IF(J737="","",ROUND(J737*Tariffs!$D$6,2))</x:f>
      </x:c>
      <x:c r="O737" s="7" t="str">
        <x:f>IF(J737="","",ROUND(J737*Tariffs!$D$7,2))</x:f>
      </x:c>
      <x:c r="P737" s="5" t="str">
        <x:v>https://neuromia.ru/app/product-card</x:v>
      </x:c>
      <x:c r="Q737" s="8" t="n">
        <x:v>46282.375</x:v>
      </x:c>
      <x:c r="R737" s="5" t="str">
        <x:v>Формат и ручной режим не изменили экранную сумму в проверенной конфигурации.</x:v>
      </x:c>
    </x:row>
    <x:row r="738" ht="22" customHeight="1">
      <x:c r="A738" s="5" t="str">
        <x:v>Карточка товара</x:v>
      </x:c>
      <x:c r="B738" s="5" t="str">
        <x:v>PRO Премиум</x:v>
      </x:c>
      <x:c r="C738" s="5" t="str">
        <x:v>Вручную</x:v>
      </x:c>
      <x:c r="D738" s="5" t="str">
        <x:v>4K</x:v>
      </x:c>
      <x:c r="E738" s="5" t="str">
        <x:v>1:1</x:v>
      </x:c>
      <x:c r="F738" s="5" t="str">
        <x:v>—</x:v>
      </x:c>
      <x:c r="G738" s="5" t="str">
        <x:v>—</x:v>
      </x:c>
      <x:c r="H738" s="5" t="str">
        <x:v>6 карточек; без фото</x:v>
      </x:c>
      <x:c r="I738" s="6" t="n">
        <x:v>240</x:v>
      </x:c>
      <x:c r="J738" s="6"/>
      <x:c r="K738" s="5" t="str">
        <x:v>До загрузки файла</x:v>
      </x:c>
      <x:c r="L738" s="5" t="str">
        <x:v>пакет карточек</x:v>
      </x:c>
      <x:c r="M738" s="7" t="str">
        <x:f>IF(J738="","",ROUND(J738*Tariffs!$D$5,2))</x:f>
      </x:c>
      <x:c r="N738" s="7" t="str">
        <x:f>IF(J738="","",ROUND(J738*Tariffs!$D$6,2))</x:f>
      </x:c>
      <x:c r="O738" s="7" t="str">
        <x:f>IF(J738="","",ROUND(J738*Tariffs!$D$7,2))</x:f>
      </x:c>
      <x:c r="P738" s="5" t="str">
        <x:v>https://neuromia.ru/app/product-card</x:v>
      </x:c>
      <x:c r="Q738" s="8" t="n">
        <x:v>46282.375</x:v>
      </x:c>
      <x:c r="R738" s="5" t="str">
        <x:v>Формат и ручной режим не изменили экранную сумму в проверенной конфигурации.</x:v>
      </x:c>
    </x:row>
    <x:row r="739" ht="22" customHeight="1">
      <x:c r="A739" s="5" t="str">
        <x:v>Карточка товара</x:v>
      </x:c>
      <x:c r="B739" s="5" t="str">
        <x:v>PRO Премиум</x:v>
      </x:c>
      <x:c r="C739" s="5" t="str">
        <x:v>Вручную</x:v>
      </x:c>
      <x:c r="D739" s="5" t="str">
        <x:v>4K</x:v>
      </x:c>
      <x:c r="E739" s="5" t="str">
        <x:v>4:5</x:v>
      </x:c>
      <x:c r="F739" s="5" t="str">
        <x:v>—</x:v>
      </x:c>
      <x:c r="G739" s="5" t="str">
        <x:v>—</x:v>
      </x:c>
      <x:c r="H739" s="5" t="str">
        <x:v>6 карточек; без фото</x:v>
      </x:c>
      <x:c r="I739" s="6" t="n">
        <x:v>240</x:v>
      </x:c>
      <x:c r="J739" s="6"/>
      <x:c r="K739" s="5" t="str">
        <x:v>До загрузки файла</x:v>
      </x:c>
      <x:c r="L739" s="5" t="str">
        <x:v>пакет карточек</x:v>
      </x:c>
      <x:c r="M739" s="7" t="str">
        <x:f>IF(J739="","",ROUND(J739*Tariffs!$D$5,2))</x:f>
      </x:c>
      <x:c r="N739" s="7" t="str">
        <x:f>IF(J739="","",ROUND(J739*Tariffs!$D$6,2))</x:f>
      </x:c>
      <x:c r="O739" s="7" t="str">
        <x:f>IF(J739="","",ROUND(J739*Tariffs!$D$7,2))</x:f>
      </x:c>
      <x:c r="P739" s="5" t="str">
        <x:v>https://neuromia.ru/app/product-card</x:v>
      </x:c>
      <x:c r="Q739" s="8" t="n">
        <x:v>46282.375</x:v>
      </x:c>
      <x:c r="R739" s="5" t="str">
        <x:v>Формат и ручной режим не изменили экранную сумму в проверенной конфигурации.</x:v>
      </x:c>
    </x:row>
    <x:row r="740" ht="22" customHeight="1">
      <x:c r="A740" s="5" t="str">
        <x:v>Карточка товара</x:v>
      </x:c>
      <x:c r="B740" s="5" t="str">
        <x:v>PRO Премиум</x:v>
      </x:c>
      <x:c r="C740" s="5" t="str">
        <x:v>Вручную</x:v>
      </x:c>
      <x:c r="D740" s="5" t="str">
        <x:v>4K</x:v>
      </x:c>
      <x:c r="E740" s="5" t="str">
        <x:v>9:16</x:v>
      </x:c>
      <x:c r="F740" s="5" t="str">
        <x:v>—</x:v>
      </x:c>
      <x:c r="G740" s="5" t="str">
        <x:v>—</x:v>
      </x:c>
      <x:c r="H740" s="5" t="str">
        <x:v>6 карточек; без фото</x:v>
      </x:c>
      <x:c r="I740" s="6" t="n">
        <x:v>240</x:v>
      </x:c>
      <x:c r="J740" s="6"/>
      <x:c r="K740" s="5" t="str">
        <x:v>До загрузки файла</x:v>
      </x:c>
      <x:c r="L740" s="5" t="str">
        <x:v>пакет карточек</x:v>
      </x:c>
      <x:c r="M740" s="7" t="str">
        <x:f>IF(J740="","",ROUND(J740*Tariffs!$D$5,2))</x:f>
      </x:c>
      <x:c r="N740" s="7" t="str">
        <x:f>IF(J740="","",ROUND(J740*Tariffs!$D$6,2))</x:f>
      </x:c>
      <x:c r="O740" s="7" t="str">
        <x:f>IF(J740="","",ROUND(J740*Tariffs!$D$7,2))</x:f>
      </x:c>
      <x:c r="P740" s="5" t="str">
        <x:v>https://neuromia.ru/app/product-card</x:v>
      </x:c>
      <x:c r="Q740" s="8" t="n">
        <x:v>46282.375</x:v>
      </x:c>
      <x:c r="R740" s="5" t="str">
        <x:v>Формат и ручной режим не изменили экранную сумму в проверенной конфигурации.</x:v>
      </x:c>
    </x:row>
    <x:row r="741" ht="22" customHeight="1">
      <x:c r="A741" s="5" t="str">
        <x:v>Карточка товара</x:v>
      </x:c>
      <x:c r="B741" s="5" t="str">
        <x:v>PRO Премиум</x:v>
      </x:c>
      <x:c r="C741" s="5" t="str">
        <x:v>Вручную</x:v>
      </x:c>
      <x:c r="D741" s="5" t="str">
        <x:v>4K</x:v>
      </x:c>
      <x:c r="E741" s="5" t="str">
        <x:v>4:3</x:v>
      </x:c>
      <x:c r="F741" s="5" t="str">
        <x:v>—</x:v>
      </x:c>
      <x:c r="G741" s="5" t="str">
        <x:v>—</x:v>
      </x:c>
      <x:c r="H741" s="5" t="str">
        <x:v>6 карточек; без фото</x:v>
      </x:c>
      <x:c r="I741" s="6" t="n">
        <x:v>240</x:v>
      </x:c>
      <x:c r="J741" s="6"/>
      <x:c r="K741" s="5" t="str">
        <x:v>До загрузки файла</x:v>
      </x:c>
      <x:c r="L741" s="5" t="str">
        <x:v>пакет карточек</x:v>
      </x:c>
      <x:c r="M741" s="7" t="str">
        <x:f>IF(J741="","",ROUND(J741*Tariffs!$D$5,2))</x:f>
      </x:c>
      <x:c r="N741" s="7" t="str">
        <x:f>IF(J741="","",ROUND(J741*Tariffs!$D$6,2))</x:f>
      </x:c>
      <x:c r="O741" s="7" t="str">
        <x:f>IF(J741="","",ROUND(J741*Tariffs!$D$7,2))</x:f>
      </x:c>
      <x:c r="P741" s="5" t="str">
        <x:v>https://neuromia.ru/app/product-card</x:v>
      </x:c>
      <x:c r="Q741" s="8" t="n">
        <x:v>46282.375</x:v>
      </x:c>
      <x:c r="R741" s="5" t="str">
        <x:v>Формат и ручной режим не изменили экранную сумму в проверенной конфигурации.</x:v>
      </x:c>
    </x:row>
    <x:row r="742" ht="22" customHeight="1">
      <x:c r="A742" s="5" t="str">
        <x:v>Карточка товара</x:v>
      </x:c>
      <x:c r="B742" s="5" t="str">
        <x:v>PRO Премиум</x:v>
      </x:c>
      <x:c r="C742" s="5" t="str">
        <x:v>Вручную</x:v>
      </x:c>
      <x:c r="D742" s="5" t="str">
        <x:v>4K</x:v>
      </x:c>
      <x:c r="E742" s="5" t="str">
        <x:v>16:9</x:v>
      </x:c>
      <x:c r="F742" s="5" t="str">
        <x:v>—</x:v>
      </x:c>
      <x:c r="G742" s="5" t="str">
        <x:v>—</x:v>
      </x:c>
      <x:c r="H742" s="5" t="str">
        <x:v>6 карточек; без фото</x:v>
      </x:c>
      <x:c r="I742" s="6" t="n">
        <x:v>240</x:v>
      </x:c>
      <x:c r="J742" s="6"/>
      <x:c r="K742" s="5" t="str">
        <x:v>До загрузки файла</x:v>
      </x:c>
      <x:c r="L742" s="5" t="str">
        <x:v>пакет карточек</x:v>
      </x:c>
      <x:c r="M742" s="7" t="str">
        <x:f>IF(J742="","",ROUND(J742*Tariffs!$D$5,2))</x:f>
      </x:c>
      <x:c r="N742" s="7" t="str">
        <x:f>IF(J742="","",ROUND(J742*Tariffs!$D$6,2))</x:f>
      </x:c>
      <x:c r="O742" s="7" t="str">
        <x:f>IF(J742="","",ROUND(J742*Tariffs!$D$7,2))</x:f>
      </x:c>
      <x:c r="P742" s="5" t="str">
        <x:v>https://neuromia.ru/app/product-card</x:v>
      </x:c>
      <x:c r="Q742" s="8" t="n">
        <x:v>46282.375</x:v>
      </x:c>
      <x:c r="R742" s="5" t="str">
        <x:v>Формат и ручной режим не изменили экранную сумму в проверенной конфигурации.</x:v>
      </x:c>
    </x:row>
    <x:row r="743" ht="22" customHeight="1">
      <x:c r="A743" s="5" t="str">
        <x:v>Оживить фото</x:v>
      </x:c>
      <x:c r="B743" s="5" t="str">
        <x:v>Standard</x:v>
      </x:c>
      <x:c r="C743" s="5" t="str">
        <x:v>Фото → видео</x:v>
      </x:c>
      <x:c r="D743" s="5" t="str">
        <x:v>768p</x:v>
      </x:c>
      <x:c r="E743" s="5" t="str">
        <x:v>—</x:v>
      </x:c>
      <x:c r="F743" s="5" t="n">
        <x:v>6</x:v>
      </x:c>
      <x:c r="G743" s="5" t="str">
        <x:v>—</x:v>
      </x:c>
      <x:c r="H743" s="5" t="str">
        <x:v>Синтетическое тестовое фото загружено</x:v>
      </x:c>
      <x:c r="I743" s="6" t="n">
        <x:v>33</x:v>
      </x:c>
      <x:c r="J743" s="6" t="n">
        <x:v>33</x:v>
      </x:c>
      <x:c r="K743" s="5" t="str">
        <x:v>Точная цена в редакторе</x:v>
      </x:c>
      <x:c r="L743" s="5" t="str">
        <x:v>видео</x:v>
      </x:c>
      <x:c r="M743" s="7" t="n">
        <x:f>IF(J743="","",ROUND(J743*Tariffs!$D$5,2))</x:f>
        <x:v>27.45</x:v>
      </x:c>
      <x:c r="N743" s="7" t="n">
        <x:f>IF(J743="","",ROUND(J743*Tariffs!$D$6,2))</x:f>
        <x:v>27.47</x:v>
      </x:c>
      <x:c r="O743" s="7" t="n">
        <x:f>IF(J743="","",ROUND(J743*Tariffs!$D$7,2))</x:f>
        <x:v>27.49</x:v>
      </x:c>
      <x:c r="P743" s="5" t="str">
        <x:v>https://neuromia.ru/app/live-photo</x:v>
      </x:c>
      <x:c r="Q743" s="8" t="n">
        <x:v>46282.375</x:v>
      </x:c>
      <x:c r="R743" s="5" t="str">
        <x:v>Цена проверена и до, и после загрузки тестового фото; не изменилась. 1080p/10 с недоступно.</x:v>
      </x:c>
    </x:row>
    <x:row r="744" ht="22" customHeight="1">
      <x:c r="A744" s="5" t="str">
        <x:v>Оживить фото</x:v>
      </x:c>
      <x:c r="B744" s="5" t="str">
        <x:v>Standard</x:v>
      </x:c>
      <x:c r="C744" s="5" t="str">
        <x:v>Фото → видео</x:v>
      </x:c>
      <x:c r="D744" s="5" t="str">
        <x:v>768p</x:v>
      </x:c>
      <x:c r="E744" s="5" t="str">
        <x:v>—</x:v>
      </x:c>
      <x:c r="F744" s="5" t="n">
        <x:v>10</x:v>
      </x:c>
      <x:c r="G744" s="5" t="str">
        <x:v>—</x:v>
      </x:c>
      <x:c r="H744" s="5" t="str">
        <x:v>Синтетическое тестовое фото загружено</x:v>
      </x:c>
      <x:c r="I744" s="6" t="n">
        <x:v>55</x:v>
      </x:c>
      <x:c r="J744" s="6" t="n">
        <x:v>55</x:v>
      </x:c>
      <x:c r="K744" s="5" t="str">
        <x:v>Точная цена в редакторе</x:v>
      </x:c>
      <x:c r="L744" s="5" t="str">
        <x:v>видео</x:v>
      </x:c>
      <x:c r="M744" s="7" t="n">
        <x:f>IF(J744="","",ROUND(J744*Tariffs!$D$5,2))</x:f>
        <x:v>45.74</x:v>
      </x:c>
      <x:c r="N744" s="7" t="n">
        <x:f>IF(J744="","",ROUND(J744*Tariffs!$D$6,2))</x:f>
        <x:v>45.79</x:v>
      </x:c>
      <x:c r="O744" s="7" t="n">
        <x:f>IF(J744="","",ROUND(J744*Tariffs!$D$7,2))</x:f>
        <x:v>45.82</x:v>
      </x:c>
      <x:c r="P744" s="5" t="str">
        <x:v>https://neuromia.ru/app/live-photo</x:v>
      </x:c>
      <x:c r="Q744" s="8" t="n">
        <x:v>46282.375</x:v>
      </x:c>
      <x:c r="R744" s="5" t="str">
        <x:v>Цена проверена и до, и после загрузки тестового фото; не изменилась. 1080p/10 с недоступно.</x:v>
      </x:c>
    </x:row>
    <x:row r="745" ht="22" customHeight="1">
      <x:c r="A745" s="5" t="str">
        <x:v>Оживить фото</x:v>
      </x:c>
      <x:c r="B745" s="5" t="str">
        <x:v>Standard</x:v>
      </x:c>
      <x:c r="C745" s="5" t="str">
        <x:v>Фото → видео</x:v>
      </x:c>
      <x:c r="D745" s="5" t="str">
        <x:v>1080p</x:v>
      </x:c>
      <x:c r="E745" s="5" t="str">
        <x:v>—</x:v>
      </x:c>
      <x:c r="F745" s="5" t="n">
        <x:v>6</x:v>
      </x:c>
      <x:c r="G745" s="5" t="str">
        <x:v>—</x:v>
      </x:c>
      <x:c r="H745" s="5" t="str">
        <x:v>Синтетическое тестовое фото загружено</x:v>
      </x:c>
      <x:c r="I745" s="6" t="n">
        <x:v>55</x:v>
      </x:c>
      <x:c r="J745" s="6" t="n">
        <x:v>55</x:v>
      </x:c>
      <x:c r="K745" s="5" t="str">
        <x:v>Точная цена в редакторе</x:v>
      </x:c>
      <x:c r="L745" s="5" t="str">
        <x:v>видео</x:v>
      </x:c>
      <x:c r="M745" s="7" t="n">
        <x:f>IF(J745="","",ROUND(J745*Tariffs!$D$5,2))</x:f>
        <x:v>45.74</x:v>
      </x:c>
      <x:c r="N745" s="7" t="n">
        <x:f>IF(J745="","",ROUND(J745*Tariffs!$D$6,2))</x:f>
        <x:v>45.79</x:v>
      </x:c>
      <x:c r="O745" s="7" t="n">
        <x:f>IF(J745="","",ROUND(J745*Tariffs!$D$7,2))</x:f>
        <x:v>45.82</x:v>
      </x:c>
      <x:c r="P745" s="5" t="str">
        <x:v>https://neuromia.ru/app/live-photo</x:v>
      </x:c>
      <x:c r="Q745" s="8" t="n">
        <x:v>46282.375</x:v>
      </x:c>
      <x:c r="R745" s="5" t="str">
        <x:v>Цена проверена и до, и после загрузки тестового фото; не изменилась. 1080p/10 с недоступно.</x:v>
      </x:c>
    </x:row>
    <x:row r="746" ht="22" customHeight="1">
      <x:c r="A746" s="5" t="str">
        <x:v>Оживить фото</x:v>
      </x:c>
      <x:c r="B746" s="5" t="str">
        <x:v>Pro</x:v>
      </x:c>
      <x:c r="C746" s="5" t="str">
        <x:v>Фото → видео</x:v>
      </x:c>
      <x:c r="D746" s="5" t="str">
        <x:v>768p</x:v>
      </x:c>
      <x:c r="E746" s="5" t="str">
        <x:v>—</x:v>
      </x:c>
      <x:c r="F746" s="5" t="n">
        <x:v>6</x:v>
      </x:c>
      <x:c r="G746" s="5" t="str">
        <x:v>—</x:v>
      </x:c>
      <x:c r="H746" s="5" t="str">
        <x:v>Синтетическое тестовое фото загружено</x:v>
      </x:c>
      <x:c r="I746" s="6" t="n">
        <x:v>49.5</x:v>
      </x:c>
      <x:c r="J746" s="6" t="n">
        <x:v>49.5</x:v>
      </x:c>
      <x:c r="K746" s="5" t="str">
        <x:v>Точная цена в редакторе</x:v>
      </x:c>
      <x:c r="L746" s="5" t="str">
        <x:v>видео</x:v>
      </x:c>
      <x:c r="M746" s="7" t="n">
        <x:f>IF(J746="","",ROUND(J746*Tariffs!$D$5,2))</x:f>
        <x:v>41.17</x:v>
      </x:c>
      <x:c r="N746" s="7" t="n">
        <x:f>IF(J746="","",ROUND(J746*Tariffs!$D$6,2))</x:f>
        <x:v>41.21</x:v>
      </x:c>
      <x:c r="O746" s="7" t="n">
        <x:f>IF(J746="","",ROUND(J746*Tariffs!$D$7,2))</x:f>
        <x:v>41.24</x:v>
      </x:c>
      <x:c r="P746" s="5" t="str">
        <x:v>https://neuromia.ru/app/live-photo</x:v>
      </x:c>
      <x:c r="Q746" s="8" t="n">
        <x:v>46282.375</x:v>
      </x:c>
      <x:c r="R746" s="5" t="str">
        <x:v>Цена проверена и до, и после загрузки тестового фото; не изменилась. 1080p/10 с недоступно.</x:v>
      </x:c>
    </x:row>
    <x:row r="747" ht="22" customHeight="1">
      <x:c r="A747" s="5" t="str">
        <x:v>Оживить фото</x:v>
      </x:c>
      <x:c r="B747" s="5" t="str">
        <x:v>Pro</x:v>
      </x:c>
      <x:c r="C747" s="5" t="str">
        <x:v>Фото → видео</x:v>
      </x:c>
      <x:c r="D747" s="5" t="str">
        <x:v>768p</x:v>
      </x:c>
      <x:c r="E747" s="5" t="str">
        <x:v>—</x:v>
      </x:c>
      <x:c r="F747" s="5" t="n">
        <x:v>10</x:v>
      </x:c>
      <x:c r="G747" s="5" t="str">
        <x:v>—</x:v>
      </x:c>
      <x:c r="H747" s="5" t="str">
        <x:v>Синтетическое тестовое фото загружено</x:v>
      </x:c>
      <x:c r="I747" s="6" t="n">
        <x:v>99</x:v>
      </x:c>
      <x:c r="J747" s="6" t="n">
        <x:v>99</x:v>
      </x:c>
      <x:c r="K747" s="5" t="str">
        <x:v>Точная цена в редакторе</x:v>
      </x:c>
      <x:c r="L747" s="5" t="str">
        <x:v>видео</x:v>
      </x:c>
      <x:c r="M747" s="7" t="n">
        <x:f>IF(J747="","",ROUND(J747*Tariffs!$D$5,2))</x:f>
        <x:v>82.34</x:v>
      </x:c>
      <x:c r="N747" s="7" t="n">
        <x:f>IF(J747="","",ROUND(J747*Tariffs!$D$6,2))</x:f>
        <x:v>82.42</x:v>
      </x:c>
      <x:c r="O747" s="7" t="n">
        <x:f>IF(J747="","",ROUND(J747*Tariffs!$D$7,2))</x:f>
        <x:v>82.48</x:v>
      </x:c>
      <x:c r="P747" s="5" t="str">
        <x:v>https://neuromia.ru/app/live-photo</x:v>
      </x:c>
      <x:c r="Q747" s="8" t="n">
        <x:v>46282.375</x:v>
      </x:c>
      <x:c r="R747" s="5" t="str">
        <x:v>Цена проверена и до, и после загрузки тестового фото; не изменилась. 1080p/10 с недоступно.</x:v>
      </x:c>
    </x:row>
    <x:row r="748" ht="22" customHeight="1">
      <x:c r="A748" s="5" t="str">
        <x:v>Оживить фото</x:v>
      </x:c>
      <x:c r="B748" s="5" t="str">
        <x:v>Pro</x:v>
      </x:c>
      <x:c r="C748" s="5" t="str">
        <x:v>Фото → видео</x:v>
      </x:c>
      <x:c r="D748" s="5" t="str">
        <x:v>1080p</x:v>
      </x:c>
      <x:c r="E748" s="5" t="str">
        <x:v>—</x:v>
      </x:c>
      <x:c r="F748" s="5" t="n">
        <x:v>6</x:v>
      </x:c>
      <x:c r="G748" s="5" t="str">
        <x:v>—</x:v>
      </x:c>
      <x:c r="H748" s="5" t="str">
        <x:v>Синтетическое тестовое фото загружено</x:v>
      </x:c>
      <x:c r="I748" s="6" t="n">
        <x:v>88</x:v>
      </x:c>
      <x:c r="J748" s="6" t="n">
        <x:v>88</x:v>
      </x:c>
      <x:c r="K748" s="5" t="str">
        <x:v>Точная цена в редакторе</x:v>
      </x:c>
      <x:c r="L748" s="5" t="str">
        <x:v>видео</x:v>
      </x:c>
      <x:c r="M748" s="7" t="n">
        <x:f>IF(J748="","",ROUND(J748*Tariffs!$D$5,2))</x:f>
        <x:v>73.19</x:v>
      </x:c>
      <x:c r="N748" s="7" t="n">
        <x:f>IF(J748="","",ROUND(J748*Tariffs!$D$6,2))</x:f>
        <x:v>73.26</x:v>
      </x:c>
      <x:c r="O748" s="7" t="n">
        <x:f>IF(J748="","",ROUND(J748*Tariffs!$D$7,2))</x:f>
        <x:v>73.32</x:v>
      </x:c>
      <x:c r="P748" s="5" t="str">
        <x:v>https://neuromia.ru/app/live-photo</x:v>
      </x:c>
      <x:c r="Q748" s="8" t="n">
        <x:v>46282.375</x:v>
      </x:c>
      <x:c r="R748" s="5" t="str">
        <x:v>Цена проверена и до, и после загрузки тестового фото; не изменилась. 1080p/10 с недоступно.</x:v>
      </x:c>
    </x:row>
    <x:row r="749" ht="22" customHeight="1">
      <x:c r="A749" s="5" t="str">
        <x:v>Конструктор сайтов</x:v>
      </x:c>
      <x:c r="B749" s="5" t="str">
        <x:v>Сайт-конструктор</x:v>
      </x:c>
      <x:c r="C749" s="5" t="str">
        <x:v>Лендинг</x:v>
      </x:c>
      <x:c r="D749" s="5" t="str">
        <x:v>—</x:v>
      </x:c>
      <x:c r="E749" s="5" t="str">
        <x:v>—</x:v>
      </x:c>
      <x:c r="F749" s="5" t="str">
        <x:v>—</x:v>
      </x:c>
      <x:c r="G749" s="5" t="str">
        <x:v>—</x:v>
      </x:c>
      <x:c r="H749" s="5" t="str">
        <x:v>Тип сайта выбран; обязательный текст пуст</x:v>
      </x:c>
      <x:c r="I749" s="6" t="n">
        <x:v>30</x:v>
      </x:c>
      <x:c r="J749" s="6" t="n">
        <x:v>30</x:v>
      </x:c>
      <x:c r="K749" s="5" t="str">
        <x:v>Точная цена в редакторе</x:v>
      </x:c>
      <x:c r="L749" s="5" t="str">
        <x:v>сайт</x:v>
      </x:c>
      <x:c r="M749" s="7" t="n">
        <x:f>IF(J749="","",ROUND(J749*Tariffs!$D$5,2))</x:f>
        <x:v>24.95</x:v>
      </x:c>
      <x:c r="N749" s="7" t="n">
        <x:f>IF(J749="","",ROUND(J749*Tariffs!$D$6,2))</x:f>
        <x:v>24.98</x:v>
      </x:c>
      <x:c r="O749" s="7" t="n">
        <x:f>IF(J749="","",ROUND(J749*Tariffs!$D$7,2))</x:f>
        <x:v>25</x:v>
      </x:c>
      <x:c r="P749" s="5" t="str">
        <x:v>https://neuromia.ru/app/site-builder</x:v>
      </x:c>
      <x:c r="Q749" s="8" t="n">
        <x:v>46282.375</x:v>
      </x:c>
      <x:c r="R749" s="5" t="str">
        <x:v>30 кр. отображается на кнопке до заполнения описания.</x:v>
      </x:c>
    </x:row>
    <x:row r="750" ht="22" customHeight="1">
      <x:c r="A750" s="5" t="str">
        <x:v>Конструктор сайтов</x:v>
      </x:c>
      <x:c r="B750" s="5" t="str">
        <x:v>Сайт-конструктор</x:v>
      </x:c>
      <x:c r="C750" s="5" t="str">
        <x:v>Портфолио</x:v>
      </x:c>
      <x:c r="D750" s="5" t="str">
        <x:v>—</x:v>
      </x:c>
      <x:c r="E750" s="5" t="str">
        <x:v>—</x:v>
      </x:c>
      <x:c r="F750" s="5" t="str">
        <x:v>—</x:v>
      </x:c>
      <x:c r="G750" s="5" t="str">
        <x:v>—</x:v>
      </x:c>
      <x:c r="H750" s="5" t="str">
        <x:v>Тип сайта выбран; обязательный текст пуст</x:v>
      </x:c>
      <x:c r="I750" s="6" t="n">
        <x:v>30</x:v>
      </x:c>
      <x:c r="J750" s="6" t="n">
        <x:v>30</x:v>
      </x:c>
      <x:c r="K750" s="5" t="str">
        <x:v>Точная цена в редакторе</x:v>
      </x:c>
      <x:c r="L750" s="5" t="str">
        <x:v>сайт</x:v>
      </x:c>
      <x:c r="M750" s="7" t="n">
        <x:f>IF(J750="","",ROUND(J750*Tariffs!$D$5,2))</x:f>
        <x:v>24.95</x:v>
      </x:c>
      <x:c r="N750" s="7" t="n">
        <x:f>IF(J750="","",ROUND(J750*Tariffs!$D$6,2))</x:f>
        <x:v>24.98</x:v>
      </x:c>
      <x:c r="O750" s="7" t="n">
        <x:f>IF(J750="","",ROUND(J750*Tariffs!$D$7,2))</x:f>
        <x:v>25</x:v>
      </x:c>
      <x:c r="P750" s="5" t="str">
        <x:v>https://neuromia.ru/app/site-builder</x:v>
      </x:c>
      <x:c r="Q750" s="8" t="n">
        <x:v>46282.375</x:v>
      </x:c>
      <x:c r="R750" s="5" t="str">
        <x:v>30 кр. отображается на кнопке до заполнения описания.</x:v>
      </x:c>
    </x:row>
    <x:row r="751" ht="22" customHeight="1">
      <x:c r="A751" s="5" t="str">
        <x:v>Конструктор сайтов</x:v>
      </x:c>
      <x:c r="B751" s="5" t="str">
        <x:v>Сайт-конструктор</x:v>
      </x:c>
      <x:c r="C751" s="5" t="str">
        <x:v>Мероприятие</x:v>
      </x:c>
      <x:c r="D751" s="5" t="str">
        <x:v>—</x:v>
      </x:c>
      <x:c r="E751" s="5" t="str">
        <x:v>—</x:v>
      </x:c>
      <x:c r="F751" s="5" t="str">
        <x:v>—</x:v>
      </x:c>
      <x:c r="G751" s="5" t="str">
        <x:v>—</x:v>
      </x:c>
      <x:c r="H751" s="5" t="str">
        <x:v>Тип сайта выбран; обязательный текст пуст</x:v>
      </x:c>
      <x:c r="I751" s="6" t="n">
        <x:v>30</x:v>
      </x:c>
      <x:c r="J751" s="6" t="n">
        <x:v>30</x:v>
      </x:c>
      <x:c r="K751" s="5" t="str">
        <x:v>Точная цена в редакторе</x:v>
      </x:c>
      <x:c r="L751" s="5" t="str">
        <x:v>сайт</x:v>
      </x:c>
      <x:c r="M751" s="7" t="n">
        <x:f>IF(J751="","",ROUND(J751*Tariffs!$D$5,2))</x:f>
        <x:v>24.95</x:v>
      </x:c>
      <x:c r="N751" s="7" t="n">
        <x:f>IF(J751="","",ROUND(J751*Tariffs!$D$6,2))</x:f>
        <x:v>24.98</x:v>
      </x:c>
      <x:c r="O751" s="7" t="n">
        <x:f>IF(J751="","",ROUND(J751*Tariffs!$D$7,2))</x:f>
        <x:v>25</x:v>
      </x:c>
      <x:c r="P751" s="5" t="str">
        <x:v>https://neuromia.ru/app/site-builder</x:v>
      </x:c>
      <x:c r="Q751" s="8" t="n">
        <x:v>46282.375</x:v>
      </x:c>
      <x:c r="R751" s="5" t="str">
        <x:v>30 кр. отображается на кнопке до заполнения описания.</x:v>
      </x:c>
    </x:row>
  </x:sheetData>
  <x:conditionalFormatting sqref="K7:K751">
    <x:cfRule type="containsText" dxfId="0" priority="1" operator="containsText" text="До загрузки файла"/>
    <x:cfRule type="containsText" dxfId="1" priority="2" operator="containsText" text="После генерации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6882"/>
  </x:sheetPr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7" hidden="0" customWidth="1"/>
    <x:col min="5" max="5" width="45" hidden="0" customWidth="1"/>
  </x:cols>
  <x:sheetData>
    <x:row r="2">
      <x:c r="A2" s="9" t="str">
        <x:v>Тарифы пополнения и курс кредита</x:v>
      </x:c>
    </x:row>
    <x:row r="3">
      <x:c r="A3" s="10" t="str">
        <x:v>Скриншот пользователя; совпадение с neuromia.ru/pricing проверено 17.09.2026.</x:v>
      </x:c>
    </x:row>
    <x:row r="4" ht="30" customHeight="1">
      <x:c r="A4" s="2" t="str">
        <x:v>Пакет</x:v>
      </x:c>
      <x:c r="B4" s="2" t="str">
        <x:v>Цена, ₽</x:v>
      </x:c>
      <x:c r="C4" s="2" t="str">
        <x:v>Кредиты</x:v>
      </x:c>
      <x:c r="D4" s="2" t="str">
        <x:v>₽/кредит</x:v>
      </x:c>
      <x:c r="E4" s="2" t="str">
        <x:v>Источник</x:v>
      </x:c>
    </x:row>
    <x:row r="5">
      <x:c r="A5" s="5" t="str">
        <x:v>600 кредитов</x:v>
      </x:c>
      <x:c r="B5" s="12" t="n">
        <x:v>499</x:v>
      </x:c>
      <x:c r="C5" s="12" t="n">
        <x:v>600</x:v>
      </x:c>
      <x:c r="D5" s="13" t="n">
        <x:f>B5/C5</x:f>
        <x:v>0.8316666666666667</x:v>
      </x:c>
      <x:c r="E5" s="5" t="str">
        <x:v>https://neuromia.ru/pricing</x:v>
      </x:c>
    </x:row>
    <x:row r="6">
      <x:c r="A6" s="5" t="str">
        <x:v>1200 кредитов</x:v>
      </x:c>
      <x:c r="B6" s="12" t="n">
        <x:v>999</x:v>
      </x:c>
      <x:c r="C6" s="12" t="n">
        <x:v>1200</x:v>
      </x:c>
      <x:c r="D6" s="13" t="n">
        <x:f>B6/C6</x:f>
        <x:v>0.8325</x:v>
      </x:c>
      <x:c r="E6" s="5" t="str">
        <x:v>https://neuromia.ru/pricing</x:v>
      </x:c>
    </x:row>
    <x:row r="7">
      <x:c r="A7" s="5" t="str">
        <x:v>6000 кредитов</x:v>
      </x:c>
      <x:c r="B7" s="12" t="n">
        <x:v>4999</x:v>
      </x:c>
      <x:c r="C7" s="12" t="n">
        <x:v>6000</x:v>
      </x:c>
      <x:c r="D7" s="13" t="n">
        <x:f>B7/C7</x:f>
        <x:v>0.8331666666666667</x:v>
      </x:c>
      <x:c r="E7" s="5" t="str">
        <x:v>https://neuromia.ru/pricing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796A3"/>
  </x:sheetPr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2">
      <x:c r="A2" s="9" t="str">
        <x:v>Как читать таблицу</x:v>
      </x:c>
    </x:row>
    <x:row r="4" ht="42" customHeight="1">
      <x:c r="A4" s="16" t="str">
        <x:v>Точная цена в редакторе</x:v>
      </x:c>
      <x:c r="B4" s="18" t="str">
        <x:v>Сумма в кредитах видна после выбора перечисленных параметров. Платная генерация не запускалась; факт списания не проверялся.</x:v>
      </x:c>
    </x:row>
    <x:row r="5" ht="42" customHeight="1">
      <x:c r="A5" s="16" t="str">
        <x:v>До загрузки файла</x:v>
      </x:c>
      <x:c r="B5" s="18" t="str">
        <x:v>Редактор показывает предварительное число, но обязательный файл не добавлен. Колонка точной цены и пересчёт в ₽ пустые.</x:v>
      </x:c>
    </x:row>
    <x:row r="6" ht="42" customHeight="1">
      <x:c r="A6" s="16" t="str">
        <x:v>Дополнительный файл требуется</x:v>
      </x:c>
      <x:c r="B6" s="18" t="str">
        <x:v>После тестового видео редактор всё ещё просит изображение, но поля для него нет. Показанную сумму нельзя считать окончательной.</x:v>
      </x:c>
    </x:row>
    <x:row r="7" ht="42" customHeight="1">
      <x:c r="A7" s="16" t="str">
        <x:v>Только резерв</x:v>
      </x:c>
      <x:c r="B7" s="18" t="str">
        <x:v>На озвучке показана верхняя граница резерва; итог по длительности записи будет определён позже.</x:v>
      </x:c>
    </x:row>
    <x:row r="8" ht="42" customHeight="1">
      <x:c r="A8" s="16" t="str">
        <x:v>После генерации</x:v>
      </x:c>
      <x:c r="B8" s="18" t="str">
        <x:v>Для чата итог зависит от входных и выходных токенов; публичное «от» не перенесено в точную цену.</x:v>
      </x:c>
    </x:row>
    <x:row r="9" ht="42" customHeight="1">
      <x:c r="A9" s="16" t="str">
        <x:v>Пересчёт в ₽</x:v>
      </x:c>
      <x:c r="B9" s="18" t="str">
        <x:v>Точные кредиты × (цена пакета / количество кредитов), округление до копеек.</x:v>
      </x:c>
    </x:row>
    <x:row r="10" ht="42" customHeight="1">
      <x:c r="A10" s="16" t="str">
        <x:v>Авторизация</x:v>
      </x:c>
      <x:c r="B10" s="18" t="str">
        <x:v>Гость видит тарифы и минимумы каталога. Редакторы с точными настройками перенаправляют на вход. После входа открыт редактор и баланс.</x:v>
      </x:c>
    </x:row>
    <x:row r="11" ht="42" customHeight="1">
      <x:c r="A11" s="16" t="str">
        <x:v>Скидка и доступ</x:v>
      </x:c>
      <x:c r="B11" s="18" t="str">
        <x:v>Персональные скидки и возможность запустить генерацию не приравниваются к просмотру цены. Аккаунт не изменён.</x:v>
      </x:c>
    </x:row>
    <x:row r="12" ht="42" customHeight="1">
      <x:c r="A12" s="16" t="str">
        <x:v>Файлы и платежи</x:v>
      </x:c>
      <x:c r="B12" s="18" t="str">
        <x:v>Загружались только синтетические тестовые файлы. Личные файлы, генерации, оплата и пополнение не использовались.</x:v>
      </x:c>
    </x:row>
    <x:row r="13" ht="42" customHeight="1">
      <x:c r="A13" s="16" t="str">
        <x:v>Предел полноты</x:v>
      </x:c>
      <x:c r="B13" s="18" t="str">
        <x:v>Строки представляют реально выбранные комбинации. Неуказанные сочетания параметров не считались проверенными.</x:v>
      </x:c>
    </x:row>
  </x:sheetData>
  <x:pageMargins left="0.7" right="0.7" top="0.75" bottom="0.75" header="0.3" footer="0.3"/>
</x:worksheet>
</file>
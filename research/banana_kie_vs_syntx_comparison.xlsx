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2288481a6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авнение" sheetId="1" r:id="Rcf0a98c0836a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&quot; ₽&quot;"/>
  </x:numFmts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i/>
      <x:sz val="10"/>
      <x:color rgb="FF374151"/>
      <x:name val="Arial"/>
    </x:font>
    <x:font>
      <x:b/>
      <x:sz val="10"/>
      <x:color rgb="FF1F2937"/>
      <x:name val="Arial"/>
    </x:font>
    <x:font>
      <x:sz val="9"/>
      <x:color rgb="FF374151"/>
      <x:name val="Arial"/>
    </x:font>
    <x:font>
      <x:b/>
      <x:sz val="9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e759fe36d4e72" /><Relationship Type="http://schemas.openxmlformats.org/officeDocument/2006/relationships/theme" Target="/xl/theme/theme1.xml" Id="Re06583a123384cd0" /><Relationship Type="http://schemas.openxmlformats.org/officeDocument/2006/relationships/sharedStrings" Target="/xl/sharedStrings.xml" Id="R06382b81dd1f404a" /><Relationship Type="http://schemas.openxmlformats.org/officeDocument/2006/relationships/worksheet" Target="/xl/worksheets/sheet1.xml" Id="Rcf0a98c0836a49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10" hidden="0" customWidth="1"/>
    <x:col min="5" max="5" width="14" hidden="0" customWidth="1"/>
    <x:col min="6" max="6" width="10" hidden="0" customWidth="1"/>
    <x:col min="7" max="7" width="14" hidden="0" customWidth="1"/>
    <x:col min="8" max="8" width="10" hidden="0" customWidth="1"/>
    <x:col min="9" max="9" width="14" hidden="0" customWidth="1"/>
    <x:col min="10" max="10" width="10" hidden="0" customWidth="1"/>
    <x:col min="11" max="11" width="16" hidden="0" customWidth="1"/>
    <x:col min="12" max="12" width="10" hidden="0" customWidth="1"/>
  </x:cols>
  <x:sheetData>
    <x:row r="1" ht="28" customHeight="1">
      <x:c r="A1" s="4" t="str">
        <x:v>Стоимость генераций: Kie и Syntx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7" t="str">
        <x:v>Сравнение Nano Banana и сопоставимых моделей по найденной таблице тарифов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0" customHeight="1">
      <x:c r="A4" s="11" t="str">
        <x:v>Параметр расчёта</x:v>
      </x:c>
      <x:c r="B4" s="11" t="str">
        <x:v>Значение</x:v>
      </x:c>
      <x:c r="C4" s="1"/>
      <x:c r="D4" s="18" t="str">
        <x:v>Формула маржи: (Цена продажи × коэффициент продажи − Kie × (1 + наценка Kie)) / Цена продажи.
В исходной таблице используется коэффициент продажи 0,905; он сохранён отдельным входом, чтобы результаты совпадали с найденным расчётом. Цены и значения KieGeneration перенесены из найденной таблицы. Цены Syntx — месячная стоимость токенов, распределённая на генерацию.</x:v>
      </x:c>
      <x:c r="E4" s="18"/>
      <x:c r="F4" s="18"/>
      <x:c r="G4" s="18"/>
      <x:c r="H4" s="18"/>
      <x:c r="I4" s="18"/>
      <x:c r="J4" s="18"/>
      <x:c r="K4" s="18"/>
      <x:c r="L4" s="18"/>
    </x:row>
    <x:row r="5" ht="20" customHeight="1">
      <x:c r="A5" s="1" t="str">
        <x:v>Налог</x:v>
      </x:c>
      <x:c r="B5" s="14" t="n">
        <x:v>0.06</x:v>
      </x:c>
      <x:c r="C5" s="1"/>
      <x:c r="D5" s="18"/>
      <x:c r="E5" s="18"/>
      <x:c r="F5" s="18"/>
      <x:c r="G5" s="18"/>
      <x:c r="H5" s="18"/>
      <x:c r="I5" s="18"/>
      <x:c r="J5" s="18"/>
      <x:c r="K5" s="18"/>
      <x:c r="L5" s="18"/>
    </x:row>
    <x:row r="6" ht="20" customHeight="1">
      <x:c r="A6" s="1" t="str">
        <x:v>Комиссия</x:v>
      </x:c>
      <x:c r="B6" s="14" t="n">
        <x:v>0.035</x:v>
      </x:c>
      <x:c r="C6" s="1"/>
      <x:c r="D6" s="18"/>
      <x:c r="E6" s="18"/>
      <x:c r="F6" s="18"/>
      <x:c r="G6" s="18"/>
      <x:c r="H6" s="18"/>
      <x:c r="I6" s="18"/>
      <x:c r="J6" s="18"/>
      <x:c r="K6" s="18"/>
      <x:c r="L6" s="18"/>
    </x:row>
    <x:row r="7" ht="20" customHeight="1">
      <x:c r="A7" s="1" t="str">
        <x:v>Коэффициент продажи</x:v>
      </x:c>
      <x:c r="B7" s="14" t="n">
        <x:v>0.905</x:v>
      </x:c>
      <x:c r="C7" s="1"/>
      <x:c r="D7" s="18"/>
      <x:c r="E7" s="18"/>
      <x:c r="F7" s="18"/>
      <x:c r="G7" s="18"/>
      <x:c r="H7" s="18"/>
      <x:c r="I7" s="18"/>
      <x:c r="J7" s="18"/>
      <x:c r="K7" s="18"/>
      <x:c r="L7" s="18"/>
    </x:row>
    <x:row r="8" ht="20" customHeight="1">
      <x:c r="A8" s="1" t="str">
        <x:v>Наценка Kie</x:v>
      </x:c>
      <x:c r="B8" s="14" t="n">
        <x:v>0.01</x:v>
      </x:c>
      <x:c r="C8" s="1"/>
      <x:c r="D8" s="18"/>
      <x:c r="E8" s="18"/>
      <x:c r="F8" s="18"/>
      <x:c r="G8" s="18"/>
      <x:c r="H8" s="18"/>
      <x:c r="I8" s="18"/>
      <x:c r="J8" s="18"/>
      <x:c r="K8" s="18"/>
      <x:c r="L8" s="18"/>
    </x:row>
    <x:row r="9" ht="20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34" customHeight="1">
      <x:c r="A11" s="21" t="str">
        <x:v>Модель и параметры</x:v>
      </x:c>
      <x:c r="B11" s="21" t="str">
        <x:v>Kie, ₽</x:v>
      </x:c>
      <x:c r="C11" s="21" t="str">
        <x:v>Syntx Basic, ₽</x:v>
      </x:c>
      <x:c r="D11" s="21" t="str">
        <x:v>Маржа</x:v>
      </x:c>
      <x:c r="E11" s="21" t="str">
        <x:v>Syntx Pro, ₽</x:v>
      </x:c>
      <x:c r="F11" s="21" t="str">
        <x:v>Маржа</x:v>
      </x:c>
      <x:c r="G11" s="21" t="str">
        <x:v>Syntx VIP, ₽</x:v>
      </x:c>
      <x:c r="H11" s="21" t="str">
        <x:v>Маржа</x:v>
      </x:c>
      <x:c r="I11" s="21" t="str">
        <x:v>Syntx Elite, ₽</x:v>
      </x:c>
      <x:c r="J11" s="21" t="str">
        <x:v>Маржа</x:v>
      </x:c>
      <x:c r="K11" s="21" t="str">
        <x:v>KieGeneration, ₽</x:v>
      </x:c>
      <x:c r="L11" s="21" t="str">
        <x:v>Маржа</x:v>
      </x:c>
    </x:row>
    <x:row r="12" ht="20" customHeight="1">
      <x:c r="A12" s="1" t="str">
        <x:v>Nano Banana 2, 1K</x:v>
      </x:c>
      <x:c r="B12" s="22" t="n">
        <x:v>3.37</x:v>
      </x:c>
      <x:c r="C12" s="22" t="n">
        <x:v>6.66</x:v>
      </x:c>
      <x:c r="D12" s="23" t="n">
        <x:f>(C12*$B$7-B12*(1+$B$8))/C12</x:f>
        <x:v>0.39393393393393394</x:v>
      </x:c>
      <x:c r="E12" s="22" t="n">
        <x:v>4.84</x:v>
      </x:c>
      <x:c r="F12" s="23" t="n">
        <x:f>(E12*$B$7-B12*(1+$B$8))/E12</x:f>
        <x:v>0.20175619834710748</x:v>
      </x:c>
      <x:c r="G12" s="22" t="n">
        <x:v>4.57</x:v>
      </x:c>
      <x:c r="H12" s="23" t="n">
        <x:f>(G12*$B$7-B12*(1+$B$8))/G12</x:f>
        <x:v>0.16020787746170684</x:v>
      </x:c>
      <x:c r="I12" s="22" t="n">
        <x:v>4.48</x:v>
      </x:c>
      <x:c r="J12" s="23" t="n">
        <x:f>(I12*$B$7-B12*(1+$B$8))/I12</x:f>
        <x:v>0.14524553571428572</x:v>
      </x:c>
      <x:c r="K12" s="22" t="n">
        <x:v>6.66</x:v>
      </x:c>
      <x:c r="L12" s="23" t="n">
        <x:f>(K12*$B$7-B12*(1+$B$8))/K12</x:f>
        <x:v>0.39393393393393394</x:v>
      </x:c>
    </x:row>
    <x:row r="13" ht="20" customHeight="1">
      <x:c r="A13" s="1" t="str">
        <x:v>Nano Banana 2, 4K</x:v>
      </x:c>
      <x:c r="B13" s="22" t="n">
        <x:v>7.58</x:v>
      </x:c>
      <x:c r="C13" s="22" t="n">
        <x:v>13.32</x:v>
      </x:c>
      <x:c r="D13" s="23" t="n">
        <x:f>(C13*$B$7-B13*(1+$B$8))/C13</x:f>
        <x:v>0.3302402402402403</x:v>
      </x:c>
      <x:c r="E13" s="22" t="n">
        <x:v>9.67</x:v>
      </x:c>
      <x:c r="F13" s="23" t="n">
        <x:f>(E13*$B$7-B13*(1+$B$8))/E13</x:f>
        <x:v>0.11329369183040333</x:v>
      </x:c>
      <x:c r="G13" s="22" t="n">
        <x:v>9.13</x:v>
      </x:c>
      <x:c r="H13" s="23" t="n">
        <x:f>(G13*$B$7-B13*(1+$B$8))/G13</x:f>
        <x:v>0.0664676889375685</x:v>
      </x:c>
      <x:c r="I13" s="22" t="n">
        <x:v>8.97</x:v>
      </x:c>
      <x:c r="J13" s="23" t="n">
        <x:f>(I13*$B$7-B13*(1+$B$8))/I13</x:f>
        <x:v>0.051510590858417</x:v>
      </x:c>
      <x:c r="K13" s="22" t="n">
        <x:v>13.32</x:v>
      </x:c>
      <x:c r="L13" s="23" t="n">
        <x:f>(K13*$B$7-B13*(1+$B$8))/K13</x:f>
        <x:v>0.3302402402402403</x:v>
      </x:c>
    </x:row>
    <x:row r="14" ht="20" customHeight="1">
      <x:c r="A14" s="1" t="str">
        <x:v>Nano Banana Pro, 1K–2K</x:v>
      </x:c>
      <x:c r="B14" s="22" t="n">
        <x:v>7.58</x:v>
      </x:c>
      <x:c r="C14" s="22" t="n">
        <x:v>6.66</x:v>
      </x:c>
      <x:c r="D14" s="23" t="n">
        <x:f>(C14*$B$7-B14*(1+$B$8))/C14</x:f>
        <x:v>-0.2445195195195195</x:v>
      </x:c>
      <x:c r="E14" s="22" t="n">
        <x:v>4.84</x:v>
      </x:c>
      <x:c r="F14" s="23" t="n">
        <x:f>(E14*$B$7-B14*(1+$B$8))/E14</x:f>
        <x:v>-0.6767768595041322</x:v>
      </x:c>
      <x:c r="G14" s="22" t="n">
        <x:v>4.57</x:v>
      </x:c>
      <x:c r="H14" s="23" t="n">
        <x:f>(G14*$B$7-B14*(1+$B$8))/G14</x:f>
        <x:v>-0.7702297592997811</x:v>
      </x:c>
      <x:c r="I14" s="22" t="n">
        <x:v>4.48</x:v>
      </x:c>
      <x:c r="J14" s="23" t="n">
        <x:f>(I14*$B$7-B14*(1+$B$8))/I14</x:f>
        <x:v>-0.8038839285714284</x:v>
      </x:c>
      <x:c r="K14" s="22" t="n">
        <x:v>9</x:v>
      </x:c>
      <x:c r="L14" s="23" t="n">
        <x:f>(K14*$B$7-B14*(1+$B$8))/K14</x:f>
        <x:v>0.05435555555555549</x:v>
      </x:c>
    </x:row>
    <x:row r="15" ht="20" customHeight="1">
      <x:c r="A15" s="1" t="str">
        <x:v>Nano Banana Pro, 4K</x:v>
      </x:c>
      <x:c r="B15" s="22" t="n">
        <x:v>10.11</x:v>
      </x:c>
      <x:c r="C15" s="22" t="n">
        <x:v>24.98</x:v>
      </x:c>
      <x:c r="D15" s="23" t="n">
        <x:f>(C15*$B$7-B15*(1+$B$8))/C15</x:f>
        <x:v>0.49622898318654923</x:v>
      </x:c>
      <x:c r="E15" s="22" t="n">
        <x:v>18.14</x:v>
      </x:c>
      <x:c r="F15" s="23" t="n">
        <x:f>(E15*$B$7-B15*(1+$B$8))/E15</x:f>
        <x:v>0.34209481808158776</x:v>
      </x:c>
      <x:c r="G15" s="22" t="n">
        <x:v>17.13</x:v>
      </x:c>
      <x:c r="H15" s="23" t="n">
        <x:f>(G15*$B$7-B15*(1+$B$8))/G15</x:f>
        <x:v>0.3089054290718038</x:v>
      </x:c>
      <x:c r="I15" s="22" t="n">
        <x:v>16.81</x:v>
      </x:c>
      <x:c r="J15" s="23" t="n">
        <x:f>(I15*$B$7-B15*(1+$B$8))/I15</x:f>
        <x:v>0.29755800118976794</x:v>
      </x:c>
      <x:c r="K15" s="22" t="n">
        <x:v>24.98</x:v>
      </x:c>
      <x:c r="L15" s="23" t="n">
        <x:f>(K15*$B$7-B15*(1+$B$8))/K15</x:f>
        <x:v>0.49622898318654923</x:v>
      </x:c>
    </x:row>
    <x:row r="16" ht="20" customHeight="1">
      <x:c r="A16" s="1" t="str">
        <x:v>Seedream 4.5, 2K</x:v>
      </x:c>
      <x:c r="B16" s="22" t="n">
        <x:v>2.74</x:v>
      </x:c>
      <x:c r="C16" s="22" t="n">
        <x:v>6.66</x:v>
      </x:c>
      <x:c r="D16" s="23" t="n">
        <x:f>(C16*$B$7-B16*(1+$B$8))/C16</x:f>
        <x:v>0.48947447447447445</x:v>
      </x:c>
      <x:c r="E16" s="22" t="n">
        <x:v>4.84</x:v>
      </x:c>
      <x:c r="F16" s="23" t="n">
        <x:f>(E16*$B$7-B16*(1+$B$8))/E16</x:f>
        <x:v>0.33322314049586776</x:v>
      </x:c>
      <x:c r="G16" s="22" t="n">
        <x:v>4.57</x:v>
      </x:c>
      <x:c r="H16" s="23" t="n">
        <x:f>(G16*$B$7-B16*(1+$B$8))/G16</x:f>
        <x:v>0.29944201312910285</x:v>
      </x:c>
      <x:c r="I16" s="22" t="n">
        <x:v>4.48</x:v>
      </x:c>
      <x:c r="J16" s="23" t="n">
        <x:f>(I16*$B$7-B16*(1+$B$8))/I16</x:f>
        <x:v>0.28727678571428567</x:v>
      </x:c>
      <x:c r="K16" s="22" t="n">
        <x:v>6.66</x:v>
      </x:c>
      <x:c r="L16" s="23" t="n">
        <x:f>(K16*$B$7-B16*(1+$B$8))/K16</x:f>
        <x:v>0.48947447447447445</x:v>
      </x:c>
    </x:row>
    <x:row r="17" ht="20" customHeight="1">
      <x:c r="A17" s="1" t="str">
        <x:v>Kling 3.0, 1080p, 5 с, без аудио</x:v>
      </x:c>
      <x:c r="B17" s="22" t="n">
        <x:v>37.91</x:v>
      </x:c>
      <x:c r="C17" s="22" t="n">
        <x:v>83.27</x:v>
      </x:c>
      <x:c r="D17" s="23" t="n">
        <x:f>(C17*$B$7-B17*(1+$B$8))/C17</x:f>
        <x:v>0.4451813378167407</x:v>
      </x:c>
      <x:c r="E17" s="22" t="n">
        <x:v>60.46</x:v>
      </x:c>
      <x:c r="F17" s="23" t="n">
        <x:f>(E17*$B$7-B17*(1+$B$8))/E17</x:f>
        <x:v>0.2717036056897123</x:v>
      </x:c>
      <x:c r="G17" s="22" t="n">
        <x:v>57.09</x:v>
      </x:c>
      <x:c r="H17" s="23" t="n">
        <x:f>(G17*$B$7-B17*(1+$B$8))/G17</x:f>
        <x:v>0.23432037134349284</x:v>
      </x:c>
      <x:c r="I17" s="22" t="n">
        <x:v>56.04</x:v>
      </x:c>
      <x:c r="J17" s="23" t="n">
        <x:f>(I17*$B$7-B17*(1+$B$8))/I17</x:f>
        <x:v>0.22175410421127772</x:v>
      </x:c>
      <x:c r="K17" s="22" t="n">
        <x:v>83.27</x:v>
      </x:c>
      <x:c r="L17" s="23" t="n">
        <x:f>(K17*$B$7-B17*(1+$B$8))/K17</x:f>
        <x:v>0.4451813378167407</x:v>
      </x:c>
    </x:row>
    <x:row r="18" ht="2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0" customHeight="1">
      <x:c r="A20" s="25" t="str">
        <x:v>Источники и ограничения</x:v>
      </x:c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</x:row>
    <x:row r="21" ht="36" customHeight="1">
      <x:c r="A21" s="29" t="str">
        <x:v>Источник Kie</x:v>
      </x:c>
      <x:c r="B21" s="28" t="str">
        <x:v>AI Media Client: src/tariff-snapshot.js, снимок от 17.09.2026</x:v>
      </x:c>
      <x:c r="C21" s="1" t="str"/>
      <x:c r="D21" s="1" t="str"/>
      <x:c r="E21" s="1" t="str"/>
      <x:c r="F21" s="1" t="str"/>
      <x:c r="G21" s="1" t="str"/>
      <x:c r="H21" s="1" t="str"/>
      <x:c r="I21" s="1" t="str"/>
      <x:c r="J21" s="1" t="str"/>
      <x:c r="K21" s="1" t="str"/>
      <x:c r="L21" s="1" t="str"/>
    </x:row>
    <x:row r="22" ht="36" customHeight="1">
      <x:c r="A22" s="29" t="str">
        <x:v>Источник Syntx</x:v>
      </x:c>
      <x:c r="B22" s="28" t="str">
        <x:v>research/Итоговые таблицы part1/syntx_actual_prices_2026-09-16.xlsx</x:v>
      </x:c>
      <x:c r="C22" s="1" t="str"/>
      <x:c r="D22" s="1" t="str"/>
      <x:c r="E22" s="1" t="str"/>
      <x:c r="F22" s="1" t="str"/>
      <x:c r="G22" s="1" t="str"/>
      <x:c r="H22" s="1" t="str"/>
      <x:c r="I22" s="1" t="str"/>
      <x:c r="J22" s="1" t="str"/>
      <x:c r="K22" s="1" t="str"/>
      <x:c r="L22" s="1" t="str"/>
    </x:row>
    <x:row r="23" ht="36" customHeight="1">
      <x:c r="A23" s="29" t="str">
        <x:v>Единица сравнения</x:v>
      </x:c>
      <x:c r="B23" s="28" t="str">
        <x:v>Рубли за одну генерацию/операцию; месячный тариф Syntx распределён на токены</x:v>
      </x:c>
      <x:c r="C23" s="1" t="str"/>
      <x:c r="D23" s="1" t="str"/>
      <x:c r="E23" s="1" t="str"/>
      <x:c r="F23" s="1" t="str"/>
      <x:c r="G23" s="1" t="str"/>
      <x:c r="H23" s="1" t="str"/>
      <x:c r="I23" s="1" t="str"/>
      <x:c r="J23" s="1" t="str"/>
      <x:c r="K23" s="1" t="str"/>
      <x:c r="L23" s="1" t="str"/>
    </x:row>
    <x:row r="24" ht="36" customHeight="1">
      <x:c r="A24" s="29" t="str">
        <x:v>Важно</x:v>
      </x:c>
      <x:c r="B24" s="28" t="str">
        <x:v>Маржа рассчитана до инфраструктуры, поддержки, рекламы и разработки; отрицательная маржа требует отдельного решения по цене.</x:v>
      </x:c>
      <x:c r="C24" s="1" t="str"/>
      <x:c r="D24" s="1" t="str"/>
      <x:c r="E24" s="1" t="str"/>
      <x:c r="F24" s="1" t="str"/>
      <x:c r="G24" s="1" t="str"/>
      <x:c r="H24" s="1" t="str"/>
      <x:c r="I24" s="1" t="str"/>
      <x:c r="J24" s="1" t="str"/>
      <x:c r="K24" s="1" t="str"/>
      <x:c r="L24" s="1" t="str"/>
    </x:row>
  </x:sheetData>
  <x:mergeCells>
    <x:mergeCell ref="A1:L1"/>
    <x:mergeCell ref="A2:L2"/>
    <x:mergeCell ref="D4:L8"/>
    <x:mergeCell ref="A20:L20"/>
    <x:mergeCell ref="B21:L21"/>
    <x:mergeCell ref="B22:L22"/>
    <x:mergeCell ref="B23:L23"/>
    <x:mergeCell ref="B24:L24"/>
  </x:mergeCells>
  <x:conditionalFormatting sqref="D12:D17">
    <x:cfRule type="expression" priority="1">
      <x:formula>D12&lt;0</x:formula>
    </x:cfRule>
  </x:conditionalFormatting>
  <x:conditionalFormatting sqref="F12:F17">
    <x:cfRule type="expression" priority="2">
      <x:formula>F12&lt;0</x:formula>
    </x:cfRule>
  </x:conditionalFormatting>
  <x:conditionalFormatting sqref="H12:H17">
    <x:cfRule type="expression" priority="3">
      <x:formula>H12&lt;0</x:formula>
    </x:cfRule>
  </x:conditionalFormatting>
  <x:conditionalFormatting sqref="J12:J17">
    <x:cfRule type="expression" priority="4">
      <x:formula>J12&lt;0</x:formula>
    </x:cfRule>
  </x:conditionalFormatting>
  <x:conditionalFormatting sqref="L12:L17">
    <x:cfRule type="expression" priority="5">
      <x:formula>L12&lt;0</x:formula>
    </x:cfRule>
  </x:conditionalFormatting>
  <x:pageMargins left="0.7" right="0.7" top="0.75" bottom="0.75" header="0.3" footer="0.3"/>
</x:worksheet>
</file>